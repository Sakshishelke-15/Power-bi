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HP\Desktop\"/>
    </mc:Choice>
  </mc:AlternateContent>
  <xr:revisionPtr revIDLastSave="0" documentId="13_ncr:1_{D19877F1-5EA8-4CE0-937A-52C0E2263D39}" xr6:coauthVersionLast="47" xr6:coauthVersionMax="47" xr10:uidLastSave="{00000000-0000-0000-0000-000000000000}"/>
  <bookViews>
    <workbookView xWindow="-108" yWindow="-108" windowWidth="23256" windowHeight="12456" firstSheet="4" activeTab="9" xr2:uid="{00000000-000D-0000-FFFF-FFFF00000000}"/>
  </bookViews>
  <sheets>
    <sheet name="KPI" sheetId="8" r:id="rId1"/>
    <sheet name="Rating" sheetId="9" r:id="rId2"/>
    <sheet name="Gender" sheetId="10" r:id="rId3"/>
    <sheet name="Education by Attrition" sheetId="11" r:id="rId4"/>
    <sheet name="Attrition By Jobs" sheetId="12" r:id="rId5"/>
    <sheet name="Department Wise Attritions" sheetId="13" r:id="rId6"/>
    <sheet name="Attrition By Age" sheetId="14" r:id="rId7"/>
    <sheet name="Marital Status" sheetId="15" r:id="rId8"/>
    <sheet name="Data" sheetId="1" r:id="rId9"/>
    <sheet name="DashBoard" sheetId="4" r:id="rId10"/>
  </sheets>
  <definedNames>
    <definedName name="_xlchart.v1.0" hidden="1">'Attrition By Jobs'!$E$4:$E$12</definedName>
    <definedName name="_xlchart.v1.1" hidden="1">'Attrition By Jobs'!$F$3</definedName>
    <definedName name="_xlchart.v1.10" hidden="1">'Attrition By Jobs'!$F$3</definedName>
    <definedName name="_xlchart.v1.11" hidden="1">'Attrition By Jobs'!$F$4:$F$12</definedName>
    <definedName name="_xlchart.v1.2" hidden="1">'Attrition By Jobs'!$F$4:$F$12</definedName>
    <definedName name="_xlchart.v1.9" hidden="1">'Attrition By Jobs'!$E$4:$E$12</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Education_Field">#N/A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D6" i="15" l="1"/>
  <c r="D5" i="15"/>
  <c r="D7" i="15"/>
  <c r="D4" i="15"/>
  <c r="E5" i="12"/>
  <c r="E6" i="12"/>
  <c r="E7" i="12"/>
  <c r="E8" i="12"/>
  <c r="E9" i="12"/>
  <c r="E10" i="12"/>
  <c r="E11" i="12"/>
  <c r="E12" i="12"/>
  <c r="E13" i="12"/>
  <c r="E4" i="12"/>
  <c r="C8" i="8"/>
  <c r="B8" i="8"/>
  <c r="B7" i="9"/>
  <c r="E4" i="15"/>
  <c r="F5" i="12"/>
  <c r="F6" i="12"/>
  <c r="B10" i="10"/>
  <c r="A8" i="8"/>
  <c r="B9" i="10"/>
  <c r="F4" i="12"/>
  <c r="C10" i="10" l="1"/>
  <c r="C9" i="10"/>
  <c r="C7" i="9"/>
  <c r="B8" i="9"/>
  <c r="C8" i="9" s="1"/>
  <c r="D8" i="8"/>
  <c r="E8" i="8"/>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<sst xmlns="http://schemas.openxmlformats.org/spreadsheetml/2006/main" count="19216" uniqueCount="1571">
  <si>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</si>
  <si>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</si>
  <si>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</si>
  <si>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</si>
  <si>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</si>
  <si>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</si>
  <si>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</si>
  <si>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</si>
  <si>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</si>
  <si>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</si>
  <si>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</si>
  <si>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</si>
  <si>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</si>
  <si>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</si>
  <si>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</si>
  <si>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</si>
  <si>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</si>
  <si>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</si>
  <si>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</si>
  <si>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</si>
  <si>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</si>
  <si>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</si>
  <si>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</si>
  <si>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</si>
  <si>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</si>
  <si>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</si>
  <si>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</si>
  <si>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</si>
  <si>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</si>
  <si>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</si>
  <si>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</si>
  <si>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</si>
  <si>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</si>
  <si>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</si>
  <si>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</si>
  <si>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</si>
  <si>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</si>
  <si>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</si>
  <si>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</si>
  <si>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</si>
  <si>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</si>
  <si>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</si>
  <si>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</si>
  <si>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</si>
  <si>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</si>
  <si>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</si>
  <si>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</si>
  <si>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</si>
  <si>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</si>
  <si>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</si>
  <si>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</si>
  <si>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</si>
  <si>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</si>
  <si>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</si>
  <si>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</si>
  <si>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</si>
  <si>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</si>
  <si>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</si>
  <si>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</si>
  <si>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</si>
  <si>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</si>
  <si>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</si>
  <si>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</si>
  <si>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</si>
  <si>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</si>
  <si>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</si>
  <si>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</si>
  <si>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</si>
  <si>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</si>
  <si>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</si>
  <si>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</si>
  <si>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</si>
  <si>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</si>
  <si>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</si>
  <si>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</si>
  <si>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</si>
  <si>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</si>
  <si>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</si>
  <si>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</si>
  <si>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</si>
  <si>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</si>
  <si>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</si>
  <si>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</si>
  <si>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</si>
  <si>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</si>
  <si>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</si>
  <si>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</si>
  <si>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</si>
  <si>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</si>
  <si>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</si>
  <si>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</si>
  <si>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</si>
  <si>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</si>
  <si>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</si>
  <si>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</si>
  <si>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</si>
  <si>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</si>
  <si>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</si>
  <si>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</si>
  <si>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</si>
  <si>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</si>
  <si>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</si>
  <si>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</si>
  <si>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</si>
  <si>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</si>
  <si>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</si>
  <si>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</si>
  <si>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</si>
  <si>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</si>
  <si>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</si>
  <si>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</si>
  <si>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</si>
  <si>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</si>
  <si>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</si>
  <si>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</si>
  <si>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</si>
  <si>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</si>
  <si>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</si>
  <si>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</si>
  <si>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</si>
  <si>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</si>
  <si>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</si>
  <si>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</si>
  <si>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</si>
  <si>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</si>
  <si>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</si>
  <si>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</si>
  <si>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</si>
  <si>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</si>
  <si>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</si>
  <si>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</si>
  <si>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</si>
  <si>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</si>
  <si>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</si>
  <si>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</si>
  <si>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</si>
  <si>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</si>
  <si>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</si>
  <si>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</si>
  <si>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</si>
  <si>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</si>
  <si>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</si>
  <si>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</si>
  <si>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</si>
  <si>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</si>
  <si>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</si>
  <si>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</si>
  <si>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</si>
  <si>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</si>
  <si>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</si>
  <si>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</si>
  <si>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</si>
  <si>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</si>
  <si>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</si>
  <si>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</si>
  <si>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</si>
  <si>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</si>
  <si>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</si>
  <si>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</si>
  <si>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</si>
  <si>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</si>
  <si>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</si>
  <si>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</si>
  <si>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</si>
  <si>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</si>
  <si>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</si>
  <si>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</si>
  <si>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</si>
  <si>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</si>
  <si>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</si>
  <si>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</si>
  <si>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</si>
  <si>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</si>
  <si>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</si>
  <si>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</si>
  <si>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</si>
  <si>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</si>
  <si>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</si>
  <si>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</si>
  <si>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</si>
  <si>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</si>
  <si>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</si>
  <si>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</si>
  <si>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</si>
  <si>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</si>
  <si>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</si>
  <si>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</si>
  <si>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</si>
  <si>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</si>
  <si>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</si>
  <si>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</si>
  <si>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</si>
  <si>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</si>
  <si>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</si>
  <si>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</si>
  <si>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</si>
  <si>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</si>
  <si>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</si>
  <si>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</si>
  <si>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</si>
  <si>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</si>
  <si>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</si>
  <si>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</si>
  <si>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</si>
  <si>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</si>
  <si>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</si>
  <si>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</si>
  <si>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</si>
  <si>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</si>
  <si>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</si>
  <si>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</si>
  <si>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</si>
  <si>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</si>
  <si>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</si>
  <si>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</si>
  <si>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</si>
  <si>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</si>
  <si>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</si>
  <si>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</si>
  <si>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</si>
  <si>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</si>
  <si>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</si>
  <si>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</si>
  <si>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</si>
  <si>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</si>
  <si>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</si>
  <si>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</si>
  <si>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</si>
  <si>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</si>
  <si>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</si>
  <si>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</si>
  <si>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</si>
  <si>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</si>
  <si>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</si>
  <si>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</si>
  <si>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</si>
  <si>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</si>
  <si>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</si>
  <si>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</si>
  <si>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</si>
  <si>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</si>
  <si>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</si>
  <si>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</si>
  <si>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</si>
  <si>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</si>
  <si>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</si>
  <si>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</si>
  <si>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</si>
  <si>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</si>
  <si>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</si>
  <si>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</si>
  <si>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</si>
  <si>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</si>
  <si>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</si>
  <si>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</si>
  <si>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</si>
  <si>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</si>
  <si>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</si>
  <si>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</si>
  <si>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</si>
  <si>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</si>
  <si>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</si>
  <si>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</si>
  <si>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</si>
  <si>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</si>
  <si>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</si>
  <si>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</si>
  <si>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</si>
  <si>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</si>
  <si>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</si>
  <si>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</si>
  <si>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</si>
  <si>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</si>
  <si>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</si>
  <si>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</si>
  <si>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</si>
  <si>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</si>
  <si>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</si>
  <si>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</si>
  <si>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</si>
  <si>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</si>
  <si>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</si>
  <si>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</si>
  <si>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</si>
  <si>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</si>
  <si>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</si>
  <si>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</si>
  <si>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</si>
  <si>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</si>
  <si>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</si>
  <si>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</si>
  <si>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</si>
  <si>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</si>
  <si>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</si>
  <si>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</si>
  <si>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</si>
  <si>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</si>
  <si>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</si>
  <si>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</si>
  <si>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</si>
  <si>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</si>
  <si>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</si>
  <si>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</si>
  <si>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</si>
  <si>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</si>
  <si>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</si>
  <si>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</si>
  <si>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</si>
  <si>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</si>
  <si>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</si>
  <si>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</si>
  <si>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</si>
  <si>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</si>
  <si>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</si>
  <si>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</si>
  <si>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</si>
  <si>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</si>
  <si>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</si>
  <si>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</si>
  <si>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</si>
  <si>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</si>
  <si>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</si>
  <si>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</si>
  <si>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</si>
  <si>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</si>
  <si>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</si>
  <si>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</si>
  <si>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</si>
  <si>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</si>
  <si>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</si>
  <si>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</si>
  <si>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</si>
  <si>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</si>
  <si>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</si>
  <si>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</si>
  <si>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</si>
  <si>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</si>
  <si>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</si>
  <si>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</si>
  <si>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</si>
  <si>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</si>
  <si>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</si>
  <si>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</si>
  <si>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</si>
  <si>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</si>
  <si>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</si>
  <si>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</si>
  <si>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</si>
  <si>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</si>
  <si>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</si>
  <si>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</si>
  <si>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</si>
  <si>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</si>
  <si>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</si>
  <si>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</si>
  <si>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</si>
  <si>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</si>
  <si>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</si>
  <si>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</si>
  <si>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</si>
  <si>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</si>
  <si>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</si>
  <si>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</si>
  <si>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</si>
  <si>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</si>
  <si>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</si>
  <si>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</si>
  <si>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</si>
  <si>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</si>
  <si>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</si>
  <si>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</si>
  <si>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</si>
  <si>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</si>
  <si>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</si>
  <si>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</si>
  <si>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</si>
  <si>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</si>
  <si>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</si>
  <si>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</si>
  <si>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</si>
  <si>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</si>
  <si>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</si>
  <si>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</si>
  <si>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</si>
  <si>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</si>
  <si>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</si>
  <si>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</si>
  <si>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</si>
  <si>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</si>
  <si>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</si>
  <si>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</si>
  <si>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</si>
  <si>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</si>
  <si>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</si>
  <si>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</si>
  <si>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</si>
  <si>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</si>
  <si>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</si>
  <si>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</si>
  <si>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</si>
  <si>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</si>
  <si>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</si>
  <si>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</si>
  <si>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</si>
  <si>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</si>
  <si>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</si>
  <si>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</si>
  <si>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</si>
  <si>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</si>
  <si>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</si>
  <si>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</si>
  <si>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</si>
  <si>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</si>
  <si>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</si>
  <si>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</si>
  <si>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</si>
  <si>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</si>
  <si>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</si>
  <si>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</si>
  <si>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</si>
  <si>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</si>
  <si>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</si>
  <si>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</si>
  <si>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</si>
  <si>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</si>
  <si>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</si>
  <si>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</si>
  <si>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</si>
  <si>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</si>
  <si>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</si>
  <si>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</si>
  <si>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</si>
  <si>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</si>
  <si>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</si>
  <si>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</si>
  <si>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</si>
  <si>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</si>
  <si>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</si>
  <si>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</si>
  <si>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</si>
  <si>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</si>
  <si>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</si>
  <si>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</si>
  <si>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</si>
  <si>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</si>
  <si>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</si>
  <si>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</si>
  <si>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</si>
  <si>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</si>
  <si>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</si>
  <si>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</si>
  <si>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</si>
  <si>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</si>
  <si>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</si>
  <si>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</si>
  <si>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</si>
  <si>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</si>
  <si>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</si>
  <si>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</si>
  <si>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</si>
  <si>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</si>
  <si>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</si>
  <si>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</si>
  <si>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</si>
  <si>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</si>
  <si>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</si>
  <si>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</si>
  <si>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</si>
  <si>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</si>
  <si>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</si>
  <si>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</si>
  <si>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</si>
  <si>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</si>
  <si>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</si>
  <si>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</si>
  <si>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</si>
  <si>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</si>
  <si>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</si>
  <si>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</si>
  <si>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</si>
  <si>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</si>
  <si>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</si>
  <si>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</si>
  <si>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</si>
  <si>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</si>
  <si>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</si>
  <si>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</si>
  <si>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</si>
  <si>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</si>
  <si>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</si>
  <si>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</si>
  <si>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</si>
  <si>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</si>
  <si>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</si>
  <si>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</si>
  <si>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</si>
  <si>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</si>
  <si>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</si>
  <si>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</si>
  <si>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</si>
  <si>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</si>
  <si>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</si>
  <si>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</si>
  <si>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</si>
  <si>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</si>
  <si>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</si>
  <si>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</si>
  <si>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</si>
  <si>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</si>
  <si>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</si>
  <si>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</si>
  <si>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</si>
  <si>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</si>
  <si>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</si>
  <si>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</si>
  <si>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</si>
  <si>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</si>
  <si>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</si>
  <si>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</si>
  <si>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</si>
  <si>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</si>
  <si>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</si>
  <si>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</si>
  <si>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</si>
  <si>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</si>
  <si>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</si>
  <si>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</si>
  <si>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</si>
  <si>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</si>
  <si>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</si>
  <si>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</si>
  <si>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</si>
  <si>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</si>
  <si>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</si>
  <si>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</si>
  <si>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</si>
  <si>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</si>
  <si>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</si>
  <si>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</si>
  <si>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</si>
  <si>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</si>
  <si>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</si>
  <si>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</si>
  <si>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</si>
  <si>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</si>
  <si>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</si>
  <si>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</si>
  <si>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</si>
  <si>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</si>
  <si>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</si>
  <si>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</si>
  <si>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</si>
  <si>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</si>
  <si>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</si>
  <si>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</si>
  <si>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</si>
  <si>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</si>
  <si>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</si>
  <si>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</si>
  <si>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</si>
  <si>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</si>
  <si>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</si>
  <si>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</si>
  <si>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</si>
  <si>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</si>
  <si>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</si>
  <si>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</si>
  <si>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</si>
  <si>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</si>
  <si>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</si>
  <si>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</si>
  <si>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</si>
  <si>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</si>
  <si>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</si>
  <si>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</si>
  <si>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</si>
  <si>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</si>
  <si>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</si>
  <si>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</si>
  <si>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</si>
  <si>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</si>
  <si>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</si>
  <si>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</si>
  <si>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</si>
  <si>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</si>
  <si>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</si>
  <si>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</si>
  <si>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</si>
  <si>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</si>
  <si>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</si>
  <si>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</si>
  <si>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</si>
  <si>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</si>
  <si>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</si>
  <si>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</si>
  <si>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</si>
  <si>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</si>
  <si>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</si>
  <si>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</si>
  <si>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</si>
  <si>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</si>
  <si>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</si>
  <si>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</si>
  <si>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</si>
  <si>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</si>
  <si>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</si>
  <si>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</si>
  <si>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</si>
  <si>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</si>
  <si>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</si>
  <si>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</si>
  <si>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</si>
  <si>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</si>
  <si>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</si>
  <si>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</si>
  <si>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</si>
  <si>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</si>
  <si>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</si>
  <si>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</si>
  <si>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</si>
  <si>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</si>
  <si>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</si>
  <si>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</si>
  <si>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</si>
  <si>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</si>
  <si>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</si>
  <si>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</si>
  <si>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</si>
  <si>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</si>
  <si>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</si>
  <si>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</si>
  <si>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</si>
  <si>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</si>
  <si>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</si>
  <si>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</si>
  <si>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</si>
  <si>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</si>
  <si>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</si>
  <si>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</si>
  <si>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</si>
  <si>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</si>
  <si>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</si>
  <si>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</si>
  <si>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</si>
  <si>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</si>
  <si>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</si>
  <si>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</si>
  <si>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</si>
  <si>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</si>
  <si>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</si>
  <si>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</si>
  <si>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</si>
  <si>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</si>
  <si>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</si>
  <si>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</si>
  <si>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</si>
  <si>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</si>
  <si>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</si>
  <si>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</si>
  <si>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</si>
  <si>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</si>
  <si>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</si>
  <si>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</si>
  <si>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</si>
  <si>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</si>
  <si>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</si>
  <si>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</si>
  <si>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</si>
  <si>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</si>
  <si>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</si>
  <si>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</si>
  <si>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</si>
  <si>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</si>
  <si>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</si>
  <si>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</si>
  <si>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</si>
  <si>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</si>
  <si>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</si>
  <si>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</si>
  <si>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</si>
  <si>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</si>
  <si>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</si>
  <si>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</si>
  <si>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</si>
  <si>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</si>
  <si>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</si>
  <si>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</si>
  <si>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</si>
  <si>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</si>
  <si>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</si>
  <si>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</si>
  <si>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</si>
  <si>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</si>
  <si>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</si>
  <si>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</si>
  <si>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</si>
  <si>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</si>
  <si>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</si>
  <si>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</si>
  <si>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</si>
  <si>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</si>
  <si>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</si>
  <si>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</si>
  <si>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</si>
  <si>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</si>
  <si>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</si>
  <si>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</si>
  <si>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</si>
  <si>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</si>
  <si>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</si>
  <si>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</si>
  <si>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</si>
  <si>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</si>
  <si>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</si>
  <si>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</si>
  <si>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</si>
  <si>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</si>
  <si>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</si>
  <si>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</si>
  <si>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</si>
  <si>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</si>
  <si>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</si>
  <si>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</si>
  <si>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</si>
  <si>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</si>
  <si>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</si>
  <si>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</si>
  <si>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</si>
  <si>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</si>
  <si>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</si>
  <si>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</si>
  <si>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</si>
  <si>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</si>
  <si>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</si>
  <si>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</si>
  <si>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</si>
  <si>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</si>
  <si>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</si>
  <si>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</si>
  <si>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</si>
  <si>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</si>
  <si>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</si>
  <si>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</si>
  <si>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</si>
  <si>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</si>
  <si>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</si>
  <si>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</si>
  <si>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</si>
  <si>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</si>
  <si>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</si>
  <si>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</si>
  <si>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</si>
  <si>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</si>
  <si>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</si>
  <si>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</si>
  <si>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</si>
  <si>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</si>
  <si>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</si>
  <si>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</si>
  <si>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</si>
  <si>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</si>
  <si>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</si>
  <si>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</si>
  <si>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</si>
  <si>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</si>
  <si>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</si>
  <si>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</si>
  <si>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</si>
  <si>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</si>
  <si>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</si>
  <si>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</si>
  <si>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</si>
  <si>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</si>
  <si>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</si>
  <si>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</si>
  <si>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</si>
  <si>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</si>
  <si>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</si>
  <si>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</si>
  <si>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</si>
  <si>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</si>
  <si>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</si>
  <si>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</si>
  <si>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</si>
  <si>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</si>
  <si>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</si>
  <si>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</si>
  <si>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</si>
  <si>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</si>
  <si>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</si>
  <si>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</si>
  <si>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</si>
  <si>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</si>
  <si>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</si>
  <si>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</si>
  <si>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</si>
  <si>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</si>
  <si>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</si>
  <si>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</si>
  <si>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</si>
  <si>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</si>
  <si>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</si>
  <si>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</si>
  <si>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</si>
  <si>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</si>
  <si>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</si>
  <si>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</si>
  <si>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</si>
  <si>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</si>
  <si>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</si>
  <si>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</si>
  <si>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</si>
  <si>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</si>
  <si>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</si>
  <si>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</si>
  <si>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</si>
  <si>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</si>
  <si>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</si>
  <si>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</si>
  <si>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</si>
  <si>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</si>
  <si>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</si>
  <si>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</si>
  <si>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</si>
  <si>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</si>
  <si>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</si>
  <si>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</si>
  <si>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</si>
  <si>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</si>
  <si>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</si>
  <si>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</si>
  <si>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</si>
  <si>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</si>
  <si>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</si>
  <si>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</si>
  <si>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</si>
  <si>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</si>
  <si>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</si>
  <si>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</si>
  <si>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</si>
  <si>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</si>
  <si>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</si>
  <si>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</si>
  <si>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</si>
  <si>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</si>
  <si>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</si>
  <si>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</si>
  <si>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</si>
  <si>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</si>
  <si>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</si>
  <si>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</si>
  <si>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</si>
  <si>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</si>
  <si>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</si>
  <si>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</si>
  <si>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</si>
  <si>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</si>
  <si>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</si>
  <si>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</si>
  <si>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</si>
  <si>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</si>
  <si>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</si>
  <si>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</si>
  <si>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</si>
  <si>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</si>
  <si>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</si>
  <si>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</si>
  <si>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</si>
  <si>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</si>
  <si>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</si>
  <si>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</si>
  <si>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</si>
  <si>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</si>
  <si>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</si>
  <si>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</si>
  <si>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</si>
  <si>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</si>
  <si>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</si>
  <si>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</si>
  <si>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</si>
  <si>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</si>
  <si>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</si>
  <si>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</si>
  <si>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</si>
  <si>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</si>
  <si>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</si>
  <si>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</si>
  <si>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</si>
  <si>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</si>
  <si>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</si>
  <si>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</si>
  <si>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</si>
  <si>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</si>
  <si>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</si>
  <si>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</si>
  <si>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</si>
  <si>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</si>
  <si>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</si>
  <si>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</si>
  <si>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</si>
  <si>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</si>
  <si>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</si>
  <si>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</si>
  <si>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</si>
  <si>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</si>
  <si>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</si>
  <si>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</si>
  <si>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</si>
  <si>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</si>
  <si>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</si>
  <si>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</si>
  <si>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</si>
  <si>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</si>
  <si>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</si>
  <si>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</si>
  <si>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</si>
  <si>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</si>
  <si>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</si>
  <si>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</si>
  <si>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</si>
  <si>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</si>
  <si>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</si>
  <si>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</si>
  <si>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</si>
  <si>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</si>
  <si>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</si>
  <si>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</si>
  <si>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</si>
  <si>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</si>
  <si>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</si>
  <si>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</si>
  <si>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</si>
  <si>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</si>
  <si>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</si>
  <si>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</si>
  <si>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</si>
  <si>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</si>
  <si>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</si>
  <si>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</si>
  <si>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</si>
  <si>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</si>
  <si>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</si>
  <si>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</si>
  <si>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</si>
  <si>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</si>
  <si>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</si>
  <si>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</si>
  <si>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</si>
  <si>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</si>
  <si>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</si>
  <si>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</si>
  <si>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</si>
  <si>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</si>
  <si>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</si>
  <si>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</si>
  <si>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</si>
  <si>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</si>
  <si>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</si>
  <si>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</si>
  <si>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</si>
  <si>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</si>
  <si>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</si>
  <si>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</si>
  <si>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</si>
  <si>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</si>
  <si>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</si>
  <si>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</si>
  <si>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</si>
  <si>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</si>
  <si>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</si>
  <si>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</si>
  <si>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</si>
  <si>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</si>
  <si>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</si>
  <si>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</si>
  <si>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</si>
  <si>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</si>
  <si>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</si>
  <si>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</si>
  <si>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</si>
  <si>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</si>
  <si>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</si>
  <si>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</si>
  <si>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</si>
  <si>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</si>
  <si>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</si>
  <si>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</si>
  <si>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</si>
  <si>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</si>
  <si>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</si>
  <si>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</si>
  <si>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</si>
  <si>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</si>
  <si>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</si>
  <si>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</si>
  <si>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</si>
  <si>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</si>
  <si>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</si>
  <si>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</si>
  <si>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</si>
  <si>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</si>
  <si>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</si>
  <si>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</si>
  <si>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</si>
  <si>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</si>
  <si>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</si>
  <si>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</si>
  <si>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</si>
  <si>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</si>
  <si>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</si>
  <si>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</si>
  <si>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</si>
  <si>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</si>
  <si>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</si>
  <si>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</si>
  <si>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</si>
  <si>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</si>
  <si>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</si>
  <si>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</si>
  <si>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</si>
  <si>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</si>
  <si>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</si>
  <si>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</si>
  <si>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</si>
  <si>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</si>
  <si>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</si>
  <si>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</si>
  <si>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</si>
  <si>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</si>
  <si>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</si>
  <si>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</si>
  <si>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</si>
  <si>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</si>
  <si>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</si>
  <si>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</si>
  <si>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</si>
  <si>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</si>
  <si>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</si>
  <si>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</si>
  <si>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</si>
  <si>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</si>
  <si>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</si>
  <si>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</si>
  <si>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</si>
  <si>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</si>
  <si>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</si>
  <si>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</si>
  <si>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</si>
  <si>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</si>
  <si>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</si>
  <si>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</si>
  <si>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</si>
  <si>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</si>
  <si>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</si>
  <si>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</si>
  <si>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</si>
  <si>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</si>
  <si>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</si>
  <si>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</si>
  <si>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</si>
  <si>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</si>
  <si>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</si>
  <si>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</si>
  <si>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</si>
  <si>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</si>
  <si>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</si>
  <si>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</si>
  <si>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</si>
  <si>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</si>
  <si>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</si>
  <si>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</si>
  <si>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</si>
  <si>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</si>
  <si>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</si>
  <si>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</si>
  <si>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</si>
  <si>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</si>
  <si>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</si>
  <si>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</si>
  <si>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</si>
  <si>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</si>
  <si>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</si>
  <si>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</si>
  <si>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</si>
  <si>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</si>
  <si>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</si>
  <si>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</si>
  <si>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</si>
  <si>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</si>
  <si>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</si>
  <si>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</si>
  <si>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</si>
  <si>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</si>
  <si>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</si>
  <si>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</si>
  <si>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</si>
  <si>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</si>
  <si>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</si>
  <si>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</si>
  <si>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</si>
  <si>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</si>
  <si>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</si>
  <si>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</si>
  <si>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</si>
  <si>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</si>
  <si>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</si>
  <si>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</si>
  <si>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</si>
  <si>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</si>
  <si>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</si>
  <si>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</si>
  <si>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</si>
  <si>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</si>
  <si>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</si>
  <si>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</si>
  <si>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</si>
  <si>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</si>
  <si>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</si>
  <si>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</si>
  <si>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</si>
  <si>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</si>
  <si>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</si>
  <si>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</si>
  <si>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</si>
  <si>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</si>
  <si>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</si>
  <si>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</si>
  <si>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</si>
  <si>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</si>
  <si>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</si>
  <si>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</si>
  <si>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</si>
  <si>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</si>
  <si>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</si>
  <si>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</si>
  <si>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</si>
  <si>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</si>
  <si>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</si>
  <si>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</si>
  <si>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</si>
  <si>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</si>
  <si>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</si>
  <si>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</si>
  <si>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</si>
  <si>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</si>
  <si>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</si>
  <si>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</si>
  <si>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</si>
  <si>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</si>
  <si>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</si>
  <si>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</si>
  <si>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</si>
  <si>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</si>
  <si>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</si>
  <si>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</si>
  <si>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</si>
  <si>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</si>
  <si>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</si>
  <si>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</si>
  <si>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</si>
  <si>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</si>
  <si>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</si>
  <si>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</si>
  <si>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</si>
  <si>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</si>
  <si>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</si>
  <si>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</si>
  <si>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</si>
  <si>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</si>
  <si>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</si>
  <si>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</si>
  <si>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</si>
  <si>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</si>
  <si>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</si>
  <si>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</si>
  <si>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</si>
  <si>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</si>
  <si>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</si>
  <si>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</si>
  <si>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</si>
  <si>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</si>
  <si>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</si>
  <si>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</si>
  <si>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</si>
  <si>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</si>
  <si>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</si>
  <si>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</si>
  <si>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</si>
  <si>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</si>
  <si>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</si>
  <si>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</si>
  <si>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</si>
  <si>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</si>
  <si>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</si>
  <si>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</si>
  <si>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</si>
  <si>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</si>
  <si>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</si>
  <si>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</si>
  <si>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</si>
  <si>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</si>
  <si>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</si>
  <si>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</si>
  <si>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</si>
  <si>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</si>
  <si>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</si>
  <si>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</si>
  <si>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</si>
  <si>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</si>
  <si>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</si>
  <si>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</si>
  <si>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</si>
  <si>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</si>
  <si>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</si>
  <si>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</si>
  <si>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</si>
  <si>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</si>
  <si>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</si>
  <si>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</si>
  <si>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</si>
  <si>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</si>
  <si>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</si>
  <si>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</si>
  <si>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</si>
  <si>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</si>
  <si>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</si>
  <si>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</si>
  <si>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</si>
  <si>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</si>
  <si>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</si>
  <si>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</si>
  <si>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</si>
  <si>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</si>
  <si>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</si>
  <si>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</si>
  <si>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</si>
  <si>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</si>
  <si>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</si>
  <si>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</si>
  <si>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</si>
  <si>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</si>
  <si>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</si>
  <si>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</si>
  <si>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</si>
  <si>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</si>
  <si>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</si>
  <si>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</si>
  <si>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</si>
  <si>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</si>
  <si>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</si>
  <si>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</si>
  <si>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</si>
  <si>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</si>
  <si>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</si>
  <si>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</si>
  <si>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</si>
  <si>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</si>
  <si>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</si>
  <si>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</si>
  <si>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</si>
  <si>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</si>
  <si>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</si>
  <si>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</si>
  <si>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</si>
  <si>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</si>
  <si>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</si>
  <si>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</si>
  <si>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</si>
  <si>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</si>
  <si>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</si>
  <si>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</si>
  <si>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</si>
  <si>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</si>
  <si>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</si>
  <si>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</si>
  <si>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</si>
  <si>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</si>
  <si>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</si>
  <si>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</si>
  <si>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</si>
  <si>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</si>
  <si>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</si>
  <si>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</si>
  <si>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</si>
  <si>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</si>
  <si>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</si>
  <si>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</si>
  <si>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</si>
  <si>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</si>
  <si>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</si>
  <si>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</si>
  <si>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</si>
  <si>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</si>
  <si>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</si>
  <si>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</si>
  <si>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</si>
  <si>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</si>
  <si>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</si>
  <si>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</si>
  <si>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</si>
  <si>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</si>
  <si>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</si>
  <si>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</si>
  <si>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</si>
  <si>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</si>
  <si>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</si>
  <si>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</si>
  <si>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</si>
  <si>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</si>
  <si>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</si>
  <si>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</si>
  <si>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</si>
  <si>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</si>
  <si>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</si>
  <si>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</si>
  <si>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</si>
  <si>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</si>
  <si>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</si>
  <si>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</si>
  <si>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</si>
  <si>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</si>
  <si>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</si>
  <si>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</si>
  <si>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</si>
  <si>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</si>
  <si>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</si>
  <si>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</si>
  <si>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</si>
  <si>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</si>
  <si>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</si>
  <si>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</si>
  <si>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</si>
  <si>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</si>
  <si>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</si>
  <si>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</si>
  <si>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</si>
  <si>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</si>
  <si>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</si>
  <si>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</si>
  <si>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</si>
  <si>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</si>
  <si>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</si>
  <si>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</si>
  <si>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</si>
  <si>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</si>
  <si>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</si>
  <si>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</si>
  <si>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</si>
  <si>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</si>
  <si>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</si>
  <si>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</si>
  <si>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</si>
  <si>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</si>
  <si>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</si>
  <si>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</si>
  <si>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</si>
  <si>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</si>
  <si>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</si>
  <si>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</si>
  <si>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</si>
  <si>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</si>
  <si>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</si>
  <si>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</si>
  <si>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</si>
  <si>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</si>
  <si>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</si>
  <si>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</si>
  <si>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</si>
  <si>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</si>
  <si>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</si>
  <si>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</si>
  <si>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</si>
  <si>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</si>
  <si>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</si>
  <si>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</si>
  <si>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</si>
  <si>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</si>
  <si>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</si>
  <si>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</si>
  <si>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</si>
  <si>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</si>
  <si>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</si>
  <si>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</si>
  <si>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</si>
  <si>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</si>
  <si>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</si>
  <si>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</si>
  <si>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</si>
  <si>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</si>
  <si>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</si>
  <si>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</si>
  <si>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</si>
  <si>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</si>
  <si>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</si>
  <si>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</si>
  <si>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</si>
  <si>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</si>
  <si>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</si>
  <si>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</si>
  <si>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</si>
  <si>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</si>
  <si>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</si>
  <si>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</si>
  <si>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</si>
  <si>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</si>
  <si>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</si>
  <si>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</si>
  <si>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</si>
  <si>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</si>
  <si>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</si>
  <si>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</si>
  <si>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</si>
  <si>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</si>
  <si>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</si>
  <si>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</si>
  <si>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</si>
  <si>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</si>
  <si>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</si>
  <si>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</si>
  <si>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</si>
  <si>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</si>
  <si>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</si>
  <si>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</si>
  <si>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</si>
  <si>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</si>
  <si>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</si>
  <si>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</si>
  <si>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</si>
  <si>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</si>
  <si>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</si>
  <si>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</si>
  <si>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</si>
  <si>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</si>
  <si>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</si>
  <si>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</si>
  <si>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</si>
  <si>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</si>
  <si>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</si>
  <si>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</si>
  <si>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</si>
  <si>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</si>
  <si>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</si>
  <si>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</si>
  <si>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</si>
  <si>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</si>
  <si>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</si>
  <si>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</si>
  <si>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</si>
  <si>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</si>
  <si>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</si>
  <si>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</si>
  <si>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</si>
  <si>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</si>
  <si>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</si>
  <si>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</si>
  <si>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</si>
  <si>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</si>
  <si>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</si>
  <si>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</si>
  <si>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</si>
  <si>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</si>
  <si>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</si>
  <si>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</si>
  <si>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</si>
  <si>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</si>
  <si>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</si>
  <si>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</si>
  <si>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</si>
  <si>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</si>
  <si>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</si>
  <si>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</si>
  <si>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</si>
  <si>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</si>
  <si>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</si>
  <si>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</si>
  <si>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</si>
  <si>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</si>
  <si>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</si>
  <si>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</si>
  <si>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</si>
  <si>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</si>
  <si>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</si>
  <si>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</si>
  <si>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</si>
  <si>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</si>
  <si>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</si>
  <si>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</si>
  <si>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</si>
  <si>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</si>
  <si>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</si>
  <si>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</si>
  <si>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</si>
  <si>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</si>
  <si>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</si>
  <si>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</si>
  <si>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</si>
  <si>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</si>
  <si>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</si>
  <si>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</si>
  <si>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</si>
  <si>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</si>
  <si>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</si>
  <si>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</si>
  <si>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</si>
  <si>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</si>
  <si>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</si>
  <si>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</si>
  <si>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</si>
  <si>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</si>
  <si>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</si>
  <si>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</si>
  <si>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</si>
  <si>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</si>
  <si>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</si>
  <si>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</si>
  <si>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</si>
  <si>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</si>
  <si>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</si>
  <si>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</si>
  <si>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</si>
  <si>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</si>
  <si>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</si>
  <si>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</si>
  <si>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</si>
  <si>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</si>
  <si>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</si>
  <si>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</si>
  <si>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</si>
  <si>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</si>
  <si>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</si>
  <si>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</si>
  <si>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</si>
  <si>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</si>
  <si>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</si>
  <si>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</si>
  <si>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</si>
  <si>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</si>
  <si>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</si>
  <si>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</si>
  <si>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</si>
  <si>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</si>
  <si>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</si>
  <si>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</si>
  <si>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</si>
  <si>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</si>
  <si>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</si>
  <si>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</si>
  <si>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</si>
  <si>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</si>
  <si>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</si>
  <si>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</si>
  <si>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</si>
  <si>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</si>
  <si>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</si>
  <si>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</si>
  <si>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</si>
  <si>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</si>
  <si>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</si>
  <si>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</si>
  <si>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</si>
  <si>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</si>
  <si>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Attributions Rate</t>
  </si>
  <si>
    <t>Average of Job Satisfaction</t>
  </si>
  <si>
    <t xml:space="preserve">Rating </t>
  </si>
  <si>
    <t xml:space="preserve">Balance Rating </t>
  </si>
  <si>
    <t>Row Labels</t>
  </si>
  <si>
    <t>Grand Total</t>
  </si>
  <si>
    <t>Count of Employee Count</t>
  </si>
  <si>
    <t xml:space="preserve">Female </t>
  </si>
  <si>
    <t>Count of CF_attrition counts</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</si>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</sst>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64" fontId="0" fillId="0" borderId="0" xfId="0" applyNumberFormat="1"/>
    <xf numFmtId="1" fontId="0" fillId="0" borderId="0" xfId="0" applyNumberFormat="1"/>
    <xf numFmtId="10" fontId="0" fillId="0" borderId="0" xfId="1" applyNumberFormat="1" applyFon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9" fontId="0" fillId="0" borderId="0" xfId="1" applyFont="1"/>
    <xf numFmtId="0" fontId="0" fillId="0" borderId="10" xfId="0" applyBorder="1"/>
    <xf numFmtId="0" fontId="0" fillId="0" borderId="3" xfId="0" applyBorder="1"/>
    <xf numFmtId="10" fontId="0" fillId="0" borderId="2" xfId="0" applyNumberFormat="1" applyBorder="1"/>
    <xf numFmtId="10" fontId="0" fillId="0" borderId="10" xfId="0" applyNumberFormat="1" applyBorder="1"/>
    <xf numFmtId="10" fontId="0" fillId="0" borderId="3" xfId="0" applyNumberFormat="1" applyBorder="1"/>
    <xf numFmtId="0" fontId="0" fillId="0" borderId="5" xfId="0" applyBorder="1"/>
    <xf numFmtId="0" fontId="0" fillId="0" borderId="8" xfId="0" applyBorder="1"/>
    <xf numFmtId="0" fontId="0" fillId="0" borderId="6" xfId="0" applyBorder="1"/>
  </cellXfs>
  <cellStyles count="2">
    <cellStyle name="Normal" xfId="0" builtinId="0"/>
    <cellStyle name="Percent" xfId="1" builtinId="5"/>
  </cellStyles>
  <dxfs count="5">
    <dxf>
      <numFmt numFmtId="164" formatCode="0.0"/>
    </dxf>
    <dxf>
      <font>
        <b/>
        <i val="0"/>
        <name val="Calibri"/>
        <family val="2"/>
        <scheme val="minor"/>
      </font>
      <fill>
        <gradientFill>
          <stop position="0">
            <color theme="9" tint="-0.25098422193060094"/>
          </stop>
          <stop position="1">
            <color rgb="FF92D050"/>
          </stop>
        </gradient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pivot="0" table="0" count="4" xr9:uid="{625CA1B0-BCB5-4B89-BBED-BBC728A1DF40}">
      <tableStyleElement type="wholeTable" dxfId="1"/>
    </tableStyle>
  </tableStyles>
  <colors>
    <mruColors>
      <color rgb="FFFA9104"/>
      <color rgb="FFFF00FF"/>
      <color rgb="FFE820D0"/>
      <color rgb="FFFDF5F7"/>
      <color rgb="FFEB1DDC"/>
      <color rgb="FFF018CC"/>
      <color rgb="FF537DC9"/>
      <color rgb="FF602928"/>
    </mruColors>
  </colors>
  <extLst>
    <ext xmlns:x14="http://schemas.microsoft.com/office/spreadsheetml/2009/9/main" uri="{46F421CA-312F-682f-3DD2-61675219B42D}">
      <x14:dxfs count="3">
        <dxf>
          <fill>
            <gradientFill degree="90">
              <stop position="0">
                <color theme="1" tint="0.34900967436750391"/>
              </stop>
              <stop position="1">
                <color theme="1" tint="0.49803155613879818"/>
              </stop>
            </gradientFill>
          </fill>
        </dxf>
        <dxf>
          <font>
            <b/>
            <i val="0"/>
            <color theme="0"/>
            <name val="Calibri"/>
            <family val="2"/>
            <scheme val="minor"/>
          </font>
          <fill>
            <gradientFill>
              <stop position="0">
                <color theme="9" tint="-0.25098422193060094"/>
              </stop>
              <stop position="1">
                <color rgb="FF92D050"/>
              </stop>
            </gradientFill>
          </fill>
        </dxf>
        <dxf>
          <fill>
            <gradientFill>
              <stop position="0">
                <color theme="1"/>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4B-423A-A650-CF73E8533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4B-423A-A650-CF73E8533AEC}"/>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5645-484B-B234-3FC79E6946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20491460306592"/>
          <c:y val="0.14322916666666666"/>
          <c:w val="0.81217334246262696"/>
          <c:h val="0.61981422244094486"/>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089B-423F-8766-A5BE8CEA9D4A}"/>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089B-423F-8766-A5BE8CEA9D4A}"/>
            </c:ext>
          </c:extLst>
        </c:ser>
        <c:dLbls>
          <c:showLegendKey val="0"/>
          <c:showVal val="0"/>
          <c:showCatName val="0"/>
          <c:showSerName val="0"/>
          <c:showPercent val="0"/>
          <c:showBubbleSize val="0"/>
        </c:dLbls>
        <c:gapWidth val="150"/>
        <c:overlap val="100"/>
        <c:axId val="509816072"/>
        <c:axId val="509816432"/>
      </c:barChart>
      <c:catAx>
        <c:axId val="509816072"/>
        <c:scaling>
          <c:orientation val="minMax"/>
        </c:scaling>
        <c:delete val="1"/>
        <c:axPos val="l"/>
        <c:majorTickMark val="out"/>
        <c:minorTickMark val="none"/>
        <c:tickLblPos val="nextTo"/>
        <c:crossAx val="509816432"/>
        <c:crosses val="autoZero"/>
        <c:auto val="1"/>
        <c:lblAlgn val="ctr"/>
        <c:lblOffset val="100"/>
        <c:noMultiLvlLbl val="0"/>
      </c:catAx>
      <c:valAx>
        <c:axId val="509816432"/>
        <c:scaling>
          <c:orientation val="minMax"/>
          <c:max val="4"/>
        </c:scaling>
        <c:delete val="1"/>
        <c:axPos val="b"/>
        <c:numFmt formatCode="0.0" sourceLinked="1"/>
        <c:majorTickMark val="out"/>
        <c:minorTickMark val="none"/>
        <c:tickLblPos val="nextTo"/>
        <c:crossAx val="509816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3E-4A2E-93C3-AD41D727F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3E-4A2E-93C3-AD41D727F3ED}"/>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A12A-434A-905C-6C820463897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Excel HR ANYLITICS.xlsx]Education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644-4A7C-8D4B-F6B17FB03038}"/>
            </c:ext>
          </c:extLst>
        </c:ser>
        <c:dLbls>
          <c:dLblPos val="outEnd"/>
          <c:showLegendKey val="0"/>
          <c:showVal val="1"/>
          <c:showCatName val="0"/>
          <c:showSerName val="0"/>
          <c:showPercent val="0"/>
          <c:showBubbleSize val="0"/>
        </c:dLbls>
        <c:gapWidth val="182"/>
        <c:axId val="541854248"/>
        <c:axId val="541858568"/>
      </c:barChart>
      <c:catAx>
        <c:axId val="541854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58568"/>
        <c:crosses val="autoZero"/>
        <c:auto val="1"/>
        <c:lblAlgn val="ctr"/>
        <c:lblOffset val="100"/>
        <c:noMultiLvlLbl val="0"/>
      </c:catAx>
      <c:valAx>
        <c:axId val="541858568"/>
        <c:scaling>
          <c:orientation val="minMax"/>
        </c:scaling>
        <c:delete val="1"/>
        <c:axPos val="b"/>
        <c:numFmt formatCode="General" sourceLinked="1"/>
        <c:majorTickMark val="out"/>
        <c:minorTickMark val="none"/>
        <c:tickLblPos val="nextTo"/>
        <c:crossAx val="541854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Excel HR ANYLITICS.xlsx]Department Wise Attritions!Department Wise Attritions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88-4FCF-8067-8E8BD363AB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88-4FCF-8067-8E8BD363AB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88-4FCF-8067-8E8BD363AB70}"/>
              </c:ext>
            </c:extLst>
          </c:dPt>
          <c:cat>
            <c:strRef>
              <c:f>'Department Wise Attritions'!$A$4:$A$7</c:f>
              <c:strCache>
                <c:ptCount val="3"/>
                <c:pt idx="0">
                  <c:v>HR</c:v>
                </c:pt>
                <c:pt idx="1">
                  <c:v>R&amp;D</c:v>
                </c:pt>
                <c:pt idx="2">
                  <c:v>Sales</c:v>
                </c:pt>
              </c:strCache>
            </c:strRef>
          </c:cat>
          <c:val>
            <c:numRef>
              <c:f>'Department Wise Attritions'!$B$4:$B$7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471-4895-8666-F47F240288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Excel HR ANYLITICS.xlsx]Attrition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5C0-4AF5-8F52-E6130DCBBE7A}"/>
            </c:ext>
          </c:extLst>
        </c:ser>
        <c:dLbls>
          <c:showLegendKey val="0"/>
          <c:showVal val="0"/>
          <c:showCatName val="0"/>
          <c:showSerName val="0"/>
          <c:showPercent val="0"/>
          <c:showBubbleSize val="0"/>
        </c:dLbls>
        <c:gapWidth val="219"/>
        <c:overlap val="-27"/>
        <c:axId val="540776160"/>
        <c:axId val="540787680"/>
      </c:barChart>
      <c:catAx>
        <c:axId val="54077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87680"/>
        <c:crosses val="autoZero"/>
        <c:auto val="1"/>
        <c:lblAlgn val="ctr"/>
        <c:lblOffset val="100"/>
        <c:noMultiLvlLbl val="0"/>
      </c:catAx>
      <c:valAx>
        <c:axId val="540787680"/>
        <c:scaling>
          <c:orientation val="minMax"/>
        </c:scaling>
        <c:delete val="1"/>
        <c:axPos val="l"/>
        <c:numFmt formatCode="General" sourceLinked="1"/>
        <c:majorTickMark val="out"/>
        <c:minorTickMark val="none"/>
        <c:tickLblPos val="nextTo"/>
        <c:crossAx val="540776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91552103671285"/>
          <c:y val="0.15404146586020637"/>
          <c:w val="0.69262908158444481"/>
          <c:h val="0.8459585341397936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8-47E5-B604-A26E74D6BD5F}"/>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ADB8-47E5-B604-A26E74D6BD5F}"/>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ADB8-47E5-B604-A26E74D6BD5F}"/>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351348548470906E-2"/>
          <c:y val="0.18677776634776946"/>
          <c:w val="0.81217334246262696"/>
          <c:h val="0.61981422244094486"/>
        </c:manualLayout>
      </c:layout>
      <c:barChart>
        <c:barDir val="bar"/>
        <c:grouping val="stacked"/>
        <c:varyColors val="0"/>
        <c:ser>
          <c:idx val="0"/>
          <c:order val="0"/>
          <c:spPr>
            <a:solidFill>
              <a:srgbClr val="C00000"/>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14D7-40F2-A8E4-C655A6E38969}"/>
            </c:ext>
          </c:extLst>
        </c:ser>
        <c:ser>
          <c:idx val="1"/>
          <c:order val="1"/>
          <c:spPr>
            <a:solidFill>
              <a:schemeClr val="bg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14D7-40F2-A8E4-C655A6E38969}"/>
            </c:ext>
          </c:extLst>
        </c:ser>
        <c:dLbls>
          <c:showLegendKey val="0"/>
          <c:showVal val="0"/>
          <c:showCatName val="0"/>
          <c:showSerName val="0"/>
          <c:showPercent val="0"/>
          <c:showBubbleSize val="0"/>
        </c:dLbls>
        <c:gapWidth val="5"/>
        <c:overlap val="100"/>
        <c:axId val="509816072"/>
        <c:axId val="509816432"/>
      </c:barChart>
      <c:catAx>
        <c:axId val="509816072"/>
        <c:scaling>
          <c:orientation val="minMax"/>
        </c:scaling>
        <c:delete val="1"/>
        <c:axPos val="l"/>
        <c:majorTickMark val="out"/>
        <c:minorTickMark val="none"/>
        <c:tickLblPos val="nextTo"/>
        <c:crossAx val="509816432"/>
        <c:crosses val="autoZero"/>
        <c:auto val="1"/>
        <c:lblAlgn val="ctr"/>
        <c:lblOffset val="100"/>
        <c:noMultiLvlLbl val="0"/>
      </c:catAx>
      <c:valAx>
        <c:axId val="509816432"/>
        <c:scaling>
          <c:orientation val="minMax"/>
          <c:max val="4"/>
        </c:scaling>
        <c:delete val="1"/>
        <c:axPos val="b"/>
        <c:numFmt formatCode="0.0" sourceLinked="1"/>
        <c:majorTickMark val="out"/>
        <c:minorTickMark val="none"/>
        <c:tickLblPos val="nextTo"/>
        <c:crossAx val="509816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72942371175343"/>
          <c:y val="0.10353476535204618"/>
          <c:w val="0.45570570570570573"/>
          <c:h val="0.84658298465829851"/>
        </c:manualLayout>
      </c:layout>
      <c:doughnutChart>
        <c:varyColors val="1"/>
        <c:ser>
          <c:idx val="0"/>
          <c:order val="0"/>
          <c:dPt>
            <c:idx val="0"/>
            <c:bubble3D val="0"/>
            <c:spPr>
              <a:solidFill>
                <a:srgbClr val="EB1DDC"/>
              </a:solidFill>
              <a:ln w="19050">
                <a:solidFill>
                  <a:schemeClr val="lt1"/>
                </a:solidFill>
              </a:ln>
              <a:effectLst/>
            </c:spPr>
            <c:extLst>
              <c:ext xmlns:c16="http://schemas.microsoft.com/office/drawing/2014/chart" uri="{C3380CC4-5D6E-409C-BE32-E72D297353CC}">
                <c16:uniqueId val="{00000001-35FF-452C-B273-FD881D53FA07}"/>
              </c:ext>
            </c:extLst>
          </c:dPt>
          <c:dPt>
            <c:idx val="1"/>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3-35FF-452C-B273-FD881D53FA0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5FF-452C-B273-FD881D53FA0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214714714714716"/>
          <c:y val="8.3682008368200833E-2"/>
          <c:w val="0.45570570570570573"/>
          <c:h val="0.84658298465829851"/>
        </c:manualLayout>
      </c:layout>
      <c:doughnutChart>
        <c:varyColors val="1"/>
        <c:ser>
          <c:idx val="0"/>
          <c:order val="0"/>
          <c:dPt>
            <c:idx val="0"/>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1-3B7B-418D-911E-9B4490F3EAFD}"/>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3B7B-418D-911E-9B4490F3EAFD}"/>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B7B-418D-911E-9B4490F3EAFD}"/>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Excel HR ANYLITICS.xlsx]Education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74000">
                <a:schemeClr val="accent6">
                  <a:lumMod val="75000"/>
                </a:schemeClr>
              </a:gs>
              <a:gs pos="16000">
                <a:srgbClr val="FF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74000">
                  <a:schemeClr val="accent6">
                    <a:lumMod val="75000"/>
                  </a:schemeClr>
                </a:gs>
                <a:gs pos="16000">
                  <a:srgbClr val="FF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777-4D94-8294-351AAD54FB63}"/>
            </c:ext>
          </c:extLst>
        </c:ser>
        <c:dLbls>
          <c:dLblPos val="outEnd"/>
          <c:showLegendKey val="0"/>
          <c:showVal val="1"/>
          <c:showCatName val="0"/>
          <c:showSerName val="0"/>
          <c:showPercent val="0"/>
          <c:showBubbleSize val="0"/>
        </c:dLbls>
        <c:gapWidth val="75"/>
        <c:axId val="541854248"/>
        <c:axId val="541858568"/>
      </c:barChart>
      <c:catAx>
        <c:axId val="541854248"/>
        <c:scaling>
          <c:orientation val="minMax"/>
        </c:scaling>
        <c:delete val="0"/>
        <c:axPos val="l"/>
        <c:numFmt formatCode="General" sourceLinked="1"/>
        <c:majorTickMark val="out"/>
        <c:minorTickMark val="none"/>
        <c:tickLblPos val="nextTo"/>
        <c:spPr>
          <a:noFill/>
          <a:ln w="9525" cap="flat" cmpd="sng" algn="ctr">
            <a:gradFill>
              <a:gsLst>
                <a:gs pos="41000">
                  <a:srgbClr val="FF0000"/>
                </a:gs>
                <a:gs pos="80000">
                  <a:schemeClr val="accent6">
                    <a:lumMod val="75000"/>
                  </a:schemeClr>
                </a:gs>
              </a:gsLst>
              <a:lin ang="5400000" scaled="1"/>
            </a:gra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1858568"/>
        <c:crosses val="autoZero"/>
        <c:auto val="1"/>
        <c:lblAlgn val="ctr"/>
        <c:lblOffset val="100"/>
        <c:noMultiLvlLbl val="0"/>
      </c:catAx>
      <c:valAx>
        <c:axId val="541858568"/>
        <c:scaling>
          <c:orientation val="minMax"/>
        </c:scaling>
        <c:delete val="1"/>
        <c:axPos val="b"/>
        <c:numFmt formatCode="General" sourceLinked="1"/>
        <c:majorTickMark val="out"/>
        <c:minorTickMark val="none"/>
        <c:tickLblPos val="nextTo"/>
        <c:crossAx val="541854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Excel HR ANYLITICS.xlsx]Department Wise Attritions!Department Wise Attritions</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65000">
                <a:srgbClr val="FF00FF"/>
              </a:gs>
              <a:gs pos="41000">
                <a:schemeClr val="accent1">
                  <a:lumMod val="40000"/>
                  <a:lumOff val="60000"/>
                </a:schemeClr>
              </a:gs>
            </a:gsLst>
            <a:lin ang="5400000" scaled="1"/>
          </a:gradFill>
          <a:ln w="19050">
            <a:solidFill>
              <a:schemeClr val="lt1"/>
            </a:solidFill>
          </a:ln>
          <a:effectLst/>
        </c:spPr>
      </c:pivotFmt>
      <c:pivotFmt>
        <c:idx val="7"/>
        <c:spPr>
          <a:gradFill>
            <a:gsLst>
              <a:gs pos="47000">
                <a:schemeClr val="accent6">
                  <a:lumMod val="75000"/>
                </a:schemeClr>
              </a:gs>
              <a:gs pos="89000">
                <a:srgbClr val="92D050"/>
              </a:gs>
              <a:gs pos="0">
                <a:schemeClr val="accent1">
                  <a:lumMod val="40000"/>
                  <a:lumOff val="60000"/>
                </a:schemeClr>
              </a:gs>
            </a:gsLst>
            <a:lin ang="5400000" scaled="1"/>
          </a:gradFill>
          <a:ln w="19050">
            <a:solidFill>
              <a:schemeClr val="lt1"/>
            </a:solidFill>
          </a:ln>
          <a:effectLst/>
        </c:spPr>
      </c:pivotFmt>
      <c:pivotFmt>
        <c:idx val="8"/>
        <c:spPr>
          <a:gradFill>
            <a:gsLst>
              <a:gs pos="13000">
                <a:schemeClr val="bg2">
                  <a:lumMod val="50000"/>
                </a:schemeClr>
              </a:gs>
              <a:gs pos="100000">
                <a:srgbClr val="FF0000"/>
              </a:gs>
            </a:gsLst>
            <a:lin ang="5400000" scaled="1"/>
          </a:gradFill>
          <a:ln w="19050">
            <a:solidFill>
              <a:schemeClr val="lt1"/>
            </a:solidFill>
          </a:ln>
          <a:effectLst/>
        </c:spPr>
      </c:pivotFmt>
    </c:pivotFmts>
    <c:plotArea>
      <c:layout/>
      <c:pieChart>
        <c:varyColors val="1"/>
        <c:ser>
          <c:idx val="0"/>
          <c:order val="0"/>
          <c:tx>
            <c:strRef>
              <c:f>'Department Wise Attritions'!$B$3</c:f>
              <c:strCache>
                <c:ptCount val="1"/>
                <c:pt idx="0">
                  <c:v>Total</c:v>
                </c:pt>
              </c:strCache>
            </c:strRef>
          </c:tx>
          <c:dPt>
            <c:idx val="0"/>
            <c:bubble3D val="0"/>
            <c:spPr>
              <a:gradFill>
                <a:gsLst>
                  <a:gs pos="65000">
                    <a:srgbClr val="FF00FF"/>
                  </a:gs>
                  <a:gs pos="41000">
                    <a:schemeClr val="accent1">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1-0E08-4DC6-8EB9-18F3A2B04BE6}"/>
              </c:ext>
            </c:extLst>
          </c:dPt>
          <c:dPt>
            <c:idx val="1"/>
            <c:bubble3D val="0"/>
            <c:spPr>
              <a:gradFill>
                <a:gsLst>
                  <a:gs pos="47000">
                    <a:schemeClr val="accent6">
                      <a:lumMod val="75000"/>
                    </a:schemeClr>
                  </a:gs>
                  <a:gs pos="89000">
                    <a:srgbClr val="92D050"/>
                  </a:gs>
                  <a:gs pos="0">
                    <a:schemeClr val="accent1">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3-0E08-4DC6-8EB9-18F3A2B04BE6}"/>
              </c:ext>
            </c:extLst>
          </c:dPt>
          <c:dPt>
            <c:idx val="2"/>
            <c:bubble3D val="0"/>
            <c:spPr>
              <a:gradFill>
                <a:gsLst>
                  <a:gs pos="13000">
                    <a:schemeClr val="bg2">
                      <a:lumMod val="50000"/>
                    </a:schemeClr>
                  </a:gs>
                  <a:gs pos="100000">
                    <a:srgbClr val="FF0000"/>
                  </a:gs>
                </a:gsLst>
                <a:lin ang="5400000" scaled="1"/>
              </a:gradFill>
              <a:ln w="19050">
                <a:solidFill>
                  <a:schemeClr val="lt1"/>
                </a:solidFill>
              </a:ln>
              <a:effectLst/>
            </c:spPr>
            <c:extLst>
              <c:ext xmlns:c16="http://schemas.microsoft.com/office/drawing/2014/chart" uri="{C3380CC4-5D6E-409C-BE32-E72D297353CC}">
                <c16:uniqueId val="{00000005-0E08-4DC6-8EB9-18F3A2B04BE6}"/>
              </c:ext>
            </c:extLst>
          </c:dPt>
          <c:dLbls>
            <c:spPr>
              <a:noFill/>
              <a:ln>
                <a:noFill/>
              </a:ln>
              <a:effectLst/>
            </c:spPr>
            <c:txPr>
              <a:bodyPr rot="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Attritions'!$A$4:$A$7</c:f>
              <c:strCache>
                <c:ptCount val="3"/>
                <c:pt idx="0">
                  <c:v>HR</c:v>
                </c:pt>
                <c:pt idx="1">
                  <c:v>R&amp;D</c:v>
                </c:pt>
                <c:pt idx="2">
                  <c:v>Sales</c:v>
                </c:pt>
              </c:strCache>
            </c:strRef>
          </c:cat>
          <c:val>
            <c:numRef>
              <c:f>'Department Wise Attritions'!$B$4:$B$7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E08-4DC6-8EB9-18F3A2B04BE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299682889683049"/>
          <c:y val="0.20604110253211375"/>
          <c:w val="0.16844122076653964"/>
          <c:h val="0.4358050810916470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Excel HR ANYLITICS.xlsx]Attrition By Age!Attrition By Age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3000">
                <a:srgbClr val="FA9104"/>
              </a:gs>
              <a:gs pos="65000">
                <a:srgbClr val="FF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13000">
                  <a:srgbClr val="FA9104"/>
                </a:gs>
                <a:gs pos="65000">
                  <a:srgbClr val="FF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533-4BB6-A0D2-2295FBEF947A}"/>
            </c:ext>
          </c:extLst>
        </c:ser>
        <c:dLbls>
          <c:dLblPos val="outEnd"/>
          <c:showLegendKey val="0"/>
          <c:showVal val="1"/>
          <c:showCatName val="0"/>
          <c:showSerName val="0"/>
          <c:showPercent val="0"/>
          <c:showBubbleSize val="0"/>
        </c:dLbls>
        <c:gapWidth val="70"/>
        <c:overlap val="-27"/>
        <c:axId val="540776160"/>
        <c:axId val="540787680"/>
      </c:barChart>
      <c:catAx>
        <c:axId val="54077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87680"/>
        <c:crosses val="autoZero"/>
        <c:auto val="1"/>
        <c:lblAlgn val="ctr"/>
        <c:lblOffset val="100"/>
        <c:noMultiLvlLbl val="0"/>
      </c:catAx>
      <c:valAx>
        <c:axId val="540787680"/>
        <c:scaling>
          <c:orientation val="minMax"/>
        </c:scaling>
        <c:delete val="1"/>
        <c:axPos val="l"/>
        <c:numFmt formatCode="General" sourceLinked="1"/>
        <c:majorTickMark val="out"/>
        <c:minorTickMark val="none"/>
        <c:tickLblPos val="nextTo"/>
        <c:crossAx val="540776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A5D0F8CE-C421-41AF-942B-5489DD5256ED}">
          <cx:tx>
            <cx:txData>
              <cx:f>_xlchart.v1.1</cx:f>
              <cx:v>Count of CF_attrition counts</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B9D9025-1750-4EC1-96FA-61BAA93A735C}">
          <cx:tx>
            <cx:txData>
              <cx:f>_xlchart.v2.4</cx:f>
              <cx:v>Count of CF_attrition count</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A5D0F8CE-C421-41AF-942B-5489DD5256ED}">
          <cx:tx>
            <cx:txData>
              <cx:f>_xlchart.v1.10</cx:f>
              <cx:v>Count of CF_attrition counts</cx:v>
            </cx:txData>
          </cx:tx>
          <cx:dataPt idx="6">
            <cx:spPr>
              <a:solidFill>
                <a:srgbClr val="92D05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DB9D9025-1750-4EC1-96FA-61BAA93A735C}">
          <cx:tx>
            <cx:txData>
              <cx:f>_xlchart.v2.7</cx:f>
              <cx:v>Count of CF_attrition count</cx:v>
            </cx:txData>
          </cx:tx>
          <cx:spPr>
            <a:gradFill>
              <a:gsLst>
                <a:gs pos="0">
                  <a:srgbClr val="92D050"/>
                </a:gs>
                <a:gs pos="44000">
                  <a:schemeClr val="accent6">
                    <a:lumMod val="75000"/>
                  </a:schemeClr>
                </a:gs>
              </a:gsLst>
              <a:lin ang="5400000" scaled="1"/>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175261</xdr:rowOff>
    </xdr:from>
    <xdr:to>
      <xdr:col>0</xdr:col>
      <xdr:colOff>1828800</xdr:colOff>
      <xdr:row>17</xdr:row>
      <xdr:rowOff>76201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78A5092-A8E3-5E2C-8027-E86183411E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95834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15</xdr:row>
      <xdr:rowOff>144780</xdr:rowOff>
    </xdr:from>
    <xdr:to>
      <xdr:col>3</xdr:col>
      <xdr:colOff>396240</xdr:colOff>
      <xdr:row>19</xdr:row>
      <xdr:rowOff>7620</xdr:rowOff>
    </xdr:to>
    <xdr:graphicFrame macro="">
      <xdr:nvGraphicFramePr>
        <xdr:cNvPr id="3" name="Chart 2">
          <a:extLst>
            <a:ext uri="{FF2B5EF4-FFF2-40B4-BE49-F238E27FC236}">
              <a16:creationId xmlns:a16="http://schemas.microsoft.com/office/drawing/2014/main" id="{7A90F67C-06B7-AE60-D146-72E013C4F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533400</xdr:colOff>
      <xdr:row>2</xdr:row>
      <xdr:rowOff>30480</xdr:rowOff>
    </xdr:from>
    <xdr:to>
      <xdr:col>11</xdr:col>
      <xdr:colOff>350520</xdr:colOff>
      <xdr:row>15</xdr:row>
      <xdr:rowOff>150495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A7FBA29B-7BA9-84D6-815A-6FEB38C2568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025640" y="4267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407670</xdr:colOff>
      <xdr:row>17</xdr:row>
      <xdr:rowOff>182880</xdr:rowOff>
    </xdr:from>
    <xdr:to>
      <xdr:col>8</xdr:col>
      <xdr:colOff>121920</xdr:colOff>
      <xdr:row>20</xdr:row>
      <xdr:rowOff>15240</xdr:rowOff>
    </xdr:to>
    <xdr:graphicFrame macro="">
      <xdr:nvGraphicFramePr>
        <xdr:cNvPr id="5" name="Chart 4">
          <a:extLst>
            <a:ext uri="{FF2B5EF4-FFF2-40B4-BE49-F238E27FC236}">
              <a16:creationId xmlns:a16="http://schemas.microsoft.com/office/drawing/2014/main" id="{99374225-6C5A-FA1E-43A7-E4E4DB56E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419100</xdr:colOff>
      <xdr:row>2</xdr:row>
      <xdr:rowOff>91441</xdr:rowOff>
    </xdr:from>
    <xdr:to>
      <xdr:col>9</xdr:col>
      <xdr:colOff>236220</xdr:colOff>
      <xdr:row>11</xdr:row>
      <xdr:rowOff>30481</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8DA157EF-F3E7-8980-7E9F-F515628D862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768340" y="48768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358140</xdr:colOff>
      <xdr:row>8</xdr:row>
      <xdr:rowOff>99061</xdr:rowOff>
    </xdr:from>
    <xdr:to>
      <xdr:col>12</xdr:col>
      <xdr:colOff>175260</xdr:colOff>
      <xdr:row>12</xdr:row>
      <xdr:rowOff>106680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60A1702E-6AAE-AB9E-52D5-6A42FAC36E0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719060" y="1684021"/>
              <a:ext cx="1828800" cy="800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14</xdr:row>
      <xdr:rowOff>121920</xdr:rowOff>
    </xdr:from>
    <xdr:to>
      <xdr:col>8</xdr:col>
      <xdr:colOff>396240</xdr:colOff>
      <xdr:row>23</xdr:row>
      <xdr:rowOff>160020</xdr:rowOff>
    </xdr:to>
    <xdr:graphicFrame macro="">
      <xdr:nvGraphicFramePr>
        <xdr:cNvPr id="4" name="Chart 3">
          <a:extLst>
            <a:ext uri="{FF2B5EF4-FFF2-40B4-BE49-F238E27FC236}">
              <a16:creationId xmlns:a16="http://schemas.microsoft.com/office/drawing/2014/main" id="{0B57DD02-A4E3-E8B1-A6A1-F82755EE5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91440</xdr:colOff>
      <xdr:row>13</xdr:row>
      <xdr:rowOff>167640</xdr:rowOff>
    </xdr:from>
    <xdr:to>
      <xdr:col>12</xdr:col>
      <xdr:colOff>350520</xdr:colOff>
      <xdr:row>24</xdr:row>
      <xdr:rowOff>0</xdr:rowOff>
    </xdr:to>
    <xdr:graphicFrame macro="">
      <xdr:nvGraphicFramePr>
        <xdr:cNvPr id="2" name="Chart 1">
          <a:extLst>
            <a:ext uri="{FF2B5EF4-FFF2-40B4-BE49-F238E27FC236}">
              <a16:creationId xmlns:a16="http://schemas.microsoft.com/office/drawing/2014/main" id="{085C8EF6-6E66-8D69-5BD8-3F414A36D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179070</xdr:colOff>
      <xdr:row>5</xdr:row>
      <xdr:rowOff>22860</xdr:rowOff>
    </xdr:from>
    <xdr:to>
      <xdr:col>13</xdr:col>
      <xdr:colOff>57150</xdr:colOff>
      <xdr:row>18</xdr:row>
      <xdr:rowOff>190500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1DE4B01-C7C4-B6E2-91E3-287A079785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873490" y="10134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8</xdr:row>
      <xdr:rowOff>121920</xdr:rowOff>
    </xdr:from>
    <xdr:to>
      <xdr:col>7</xdr:col>
      <xdr:colOff>45720</xdr:colOff>
      <xdr:row>17</xdr:row>
      <xdr:rowOff>144780</xdr:rowOff>
    </xdr:to>
    <xdr:graphicFrame macro="">
      <xdr:nvGraphicFramePr>
        <xdr:cNvPr id="2" name="Chart 1">
          <a:extLst>
            <a:ext uri="{FF2B5EF4-FFF2-40B4-BE49-F238E27FC236}">
              <a16:creationId xmlns:a16="http://schemas.microsoft.com/office/drawing/2014/main" id="{1EFF589A-53EC-50AF-3D4F-CA0260CA7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xdr:colOff>
      <xdr:row>10</xdr:row>
      <xdr:rowOff>129540</xdr:rowOff>
    </xdr:from>
    <xdr:to>
      <xdr:col>11</xdr:col>
      <xdr:colOff>525780</xdr:colOff>
      <xdr:row>24</xdr:row>
      <xdr:rowOff>51435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BDE03ED-62E9-321F-E364-6A119B9838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99020" y="21107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7</xdr:row>
      <xdr:rowOff>106680</xdr:rowOff>
    </xdr:from>
    <xdr:to>
      <xdr:col>9</xdr:col>
      <xdr:colOff>331470</xdr:colOff>
      <xdr:row>21</xdr:row>
      <xdr:rowOff>76200</xdr:rowOff>
    </xdr:to>
    <xdr:graphicFrame macro="">
      <xdr:nvGraphicFramePr>
        <xdr:cNvPr id="2" name="Chart 1">
          <a:extLst>
            <a:ext uri="{FF2B5EF4-FFF2-40B4-BE49-F238E27FC236}">
              <a16:creationId xmlns:a16="http://schemas.microsoft.com/office/drawing/2014/main" id="{951788BE-A819-B80D-98C9-73C9520C4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556260</xdr:colOff>
      <xdr:row>7</xdr:row>
      <xdr:rowOff>45720</xdr:rowOff>
    </xdr:from>
    <xdr:to>
      <xdr:col>10</xdr:col>
      <xdr:colOff>121920</xdr:colOff>
      <xdr:row>16</xdr:row>
      <xdr:rowOff>175260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3979078-28CF-DB2F-DA32-6C90F3D841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05700" y="1432560"/>
              <a:ext cx="2918460" cy="1912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31749</xdr:colOff>
      <xdr:row>1</xdr:row>
      <xdr:rowOff>29399</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348786" y="217547"/>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178740</xdr:colOff>
      <xdr:row>5</xdr:row>
      <xdr:rowOff>169332</xdr:rowOff>
    </xdr:from>
    <xdr:to>
      <xdr:col>5</xdr:col>
      <xdr:colOff>573851</xdr:colOff>
      <xdr:row>8</xdr:row>
      <xdr:rowOff>9406</xdr:rowOff>
    </xdr:to>
    <xdr:sp macro="" textlink="">
      <xdr:nvSpPr>
        <xdr:cNvPr id="3" name="TextBox 2">
          <a:extLst>
            <a:ext uri="{FF2B5EF4-FFF2-40B4-BE49-F238E27FC236}">
              <a16:creationId xmlns:a16="http://schemas.microsoft.com/office/drawing/2014/main" id="{ED05B8B9-DD54-5209-E158-8438E86CF740}"/>
            </a:ext>
          </a:extLst>
        </xdr:cNvPr>
        <xdr:cNvSpPr txBox="1"/>
      </xdr:nvSpPr>
      <xdr:spPr>
        <a:xfrm>
          <a:off x="1495777" y="1110073"/>
          <a:ext cx="2370667"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C00000"/>
              </a:solidFill>
              <a:latin typeface="Arial Black" panose="020B0A04020102020204" pitchFamily="34" charset="0"/>
            </a:rPr>
            <a:t>Total Employee</a:t>
          </a:r>
        </a:p>
      </xdr:txBody>
    </xdr:sp>
    <xdr:clientData/>
  </xdr:twoCellAnchor>
  <xdr:twoCellAnchor>
    <xdr:from>
      <xdr:col>3</xdr:col>
      <xdr:colOff>357481</xdr:colOff>
      <xdr:row>7</xdr:row>
      <xdr:rowOff>150521</xdr:rowOff>
    </xdr:from>
    <xdr:to>
      <xdr:col>5</xdr:col>
      <xdr:colOff>301037</xdr:colOff>
      <xdr:row>10</xdr:row>
      <xdr:rowOff>37632</xdr:rowOff>
    </xdr:to>
    <xdr:sp macro="" textlink="KPI!A8">
      <xdr:nvSpPr>
        <xdr:cNvPr id="5" name="TextBox 4">
          <a:extLst>
            <a:ext uri="{FF2B5EF4-FFF2-40B4-BE49-F238E27FC236}">
              <a16:creationId xmlns:a16="http://schemas.microsoft.com/office/drawing/2014/main" id="{89AB707F-7FEA-9884-DBA7-A00E6187935A}"/>
            </a:ext>
          </a:extLst>
        </xdr:cNvPr>
        <xdr:cNvSpPr txBox="1"/>
      </xdr:nvSpPr>
      <xdr:spPr>
        <a:xfrm>
          <a:off x="2333037" y="1467558"/>
          <a:ext cx="1260593" cy="4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9DB4E3-0567-442E-BDD9-B988969BBEB7}" type="TxLink">
            <a:rPr lang="en-US" sz="2600" b="0" i="0" u="none" strike="noStrike">
              <a:solidFill>
                <a:srgbClr val="002060"/>
              </a:solidFill>
              <a:latin typeface="Arial Black" panose="020B0A04020102020204" pitchFamily="34" charset="0"/>
              <a:ea typeface="Calibri"/>
              <a:cs typeface="Calibri"/>
            </a:rPr>
            <a:pPr/>
            <a:t>1470</a:t>
          </a:fld>
          <a:endParaRPr lang="en-US" sz="2600">
            <a:solidFill>
              <a:srgbClr val="002060"/>
            </a:solidFill>
            <a:latin typeface="Arial Black" panose="020B0A04020102020204" pitchFamily="34" charset="0"/>
          </a:endParaRPr>
        </a:p>
      </xdr:txBody>
    </xdr:sp>
    <xdr:clientData/>
  </xdr:twoCellAnchor>
  <xdr:twoCellAnchor>
    <xdr:from>
      <xdr:col>6</xdr:col>
      <xdr:colOff>586788</xdr:colOff>
      <xdr:row>5</xdr:row>
      <xdr:rowOff>170510</xdr:rowOff>
    </xdr:from>
    <xdr:to>
      <xdr:col>10</xdr:col>
      <xdr:colOff>323381</xdr:colOff>
      <xdr:row>8</xdr:row>
      <xdr:rowOff>10584</xdr:rowOff>
    </xdr:to>
    <xdr:sp macro="" textlink="">
      <xdr:nvSpPr>
        <xdr:cNvPr id="6" name="TextBox 5">
          <a:extLst>
            <a:ext uri="{FF2B5EF4-FFF2-40B4-BE49-F238E27FC236}">
              <a16:creationId xmlns:a16="http://schemas.microsoft.com/office/drawing/2014/main" id="{0B7C72D5-E314-46FE-9081-D3DECE35D71F}"/>
            </a:ext>
          </a:extLst>
        </xdr:cNvPr>
        <xdr:cNvSpPr txBox="1"/>
      </xdr:nvSpPr>
      <xdr:spPr>
        <a:xfrm>
          <a:off x="4537899" y="1111251"/>
          <a:ext cx="2370667"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C00000"/>
              </a:solidFill>
              <a:latin typeface="Arial Black" panose="020B0A04020102020204" pitchFamily="34" charset="0"/>
            </a:rPr>
            <a:t>Attrition</a:t>
          </a:r>
        </a:p>
      </xdr:txBody>
    </xdr:sp>
    <xdr:clientData/>
  </xdr:twoCellAnchor>
  <xdr:twoCellAnchor>
    <xdr:from>
      <xdr:col>7</xdr:col>
      <xdr:colOff>520934</xdr:colOff>
      <xdr:row>7</xdr:row>
      <xdr:rowOff>151696</xdr:rowOff>
    </xdr:from>
    <xdr:to>
      <xdr:col>9</xdr:col>
      <xdr:colOff>464490</xdr:colOff>
      <xdr:row>10</xdr:row>
      <xdr:rowOff>38807</xdr:rowOff>
    </xdr:to>
    <xdr:sp macro="" textlink="KPI!B8">
      <xdr:nvSpPr>
        <xdr:cNvPr id="7" name="TextBox 6">
          <a:extLst>
            <a:ext uri="{FF2B5EF4-FFF2-40B4-BE49-F238E27FC236}">
              <a16:creationId xmlns:a16="http://schemas.microsoft.com/office/drawing/2014/main" id="{22EAE94A-4F16-4F33-82E7-6CD8BD71A66F}"/>
            </a:ext>
          </a:extLst>
        </xdr:cNvPr>
        <xdr:cNvSpPr txBox="1"/>
      </xdr:nvSpPr>
      <xdr:spPr>
        <a:xfrm>
          <a:off x="5130564" y="1468733"/>
          <a:ext cx="1260593" cy="4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CD5C89-903C-42E8-AA50-B01475CB837E}" type="TxLink">
            <a:rPr lang="en-US" sz="2600" b="1" i="0" u="none" strike="noStrike">
              <a:solidFill>
                <a:srgbClr val="002060"/>
              </a:solidFill>
              <a:latin typeface="Arial Black" panose="020B0A04020102020204" pitchFamily="34" charset="0"/>
              <a:ea typeface="Calibri"/>
              <a:cs typeface="Calibri"/>
            </a:rPr>
            <a:pPr/>
            <a:t>237</a:t>
          </a:fld>
          <a:endParaRPr lang="en-US" sz="2600" b="1">
            <a:solidFill>
              <a:srgbClr val="002060"/>
            </a:solidFill>
            <a:latin typeface="Arial Black" panose="020B0A04020102020204" pitchFamily="34" charset="0"/>
          </a:endParaRPr>
        </a:p>
      </xdr:txBody>
    </xdr:sp>
    <xdr:clientData/>
  </xdr:twoCellAnchor>
  <xdr:twoCellAnchor>
    <xdr:from>
      <xdr:col>12</xdr:col>
      <xdr:colOff>266936</xdr:colOff>
      <xdr:row>7</xdr:row>
      <xdr:rowOff>114064</xdr:rowOff>
    </xdr:from>
    <xdr:to>
      <xdr:col>14</xdr:col>
      <xdr:colOff>210492</xdr:colOff>
      <xdr:row>10</xdr:row>
      <xdr:rowOff>1175</xdr:rowOff>
    </xdr:to>
    <xdr:sp macro="" textlink="KPI!D8">
      <xdr:nvSpPr>
        <xdr:cNvPr id="8" name="TextBox 7">
          <a:extLst>
            <a:ext uri="{FF2B5EF4-FFF2-40B4-BE49-F238E27FC236}">
              <a16:creationId xmlns:a16="http://schemas.microsoft.com/office/drawing/2014/main" id="{CF577C19-0165-4751-B397-C39369D01129}"/>
            </a:ext>
          </a:extLst>
        </xdr:cNvPr>
        <xdr:cNvSpPr txBox="1"/>
      </xdr:nvSpPr>
      <xdr:spPr>
        <a:xfrm>
          <a:off x="8169158" y="1431101"/>
          <a:ext cx="1260593" cy="4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53F2EF-B004-4557-A02B-192E2A5B5025}" type="TxLink">
            <a:rPr lang="en-US" sz="2600" b="0" i="0" u="none" strike="noStrike">
              <a:solidFill>
                <a:srgbClr val="002060"/>
              </a:solidFill>
              <a:latin typeface="Arial Black" panose="020B0A04020102020204" pitchFamily="34" charset="0"/>
              <a:ea typeface="Calibri"/>
              <a:cs typeface="Calibri"/>
            </a:rPr>
            <a:pPr/>
            <a:t>1233</a:t>
          </a:fld>
          <a:endParaRPr lang="en-US" sz="2600">
            <a:solidFill>
              <a:srgbClr val="002060"/>
            </a:solidFill>
            <a:latin typeface="Arial Black" panose="020B0A04020102020204" pitchFamily="34" charset="0"/>
          </a:endParaRPr>
        </a:p>
      </xdr:txBody>
    </xdr:sp>
    <xdr:clientData/>
  </xdr:twoCellAnchor>
  <xdr:twoCellAnchor>
    <xdr:from>
      <xdr:col>11</xdr:col>
      <xdr:colOff>116416</xdr:colOff>
      <xdr:row>5</xdr:row>
      <xdr:rowOff>151695</xdr:rowOff>
    </xdr:from>
    <xdr:to>
      <xdr:col>14</xdr:col>
      <xdr:colOff>511528</xdr:colOff>
      <xdr:row>7</xdr:row>
      <xdr:rowOff>179917</xdr:rowOff>
    </xdr:to>
    <xdr:sp macro="" textlink="">
      <xdr:nvSpPr>
        <xdr:cNvPr id="11" name="TextBox 10">
          <a:extLst>
            <a:ext uri="{FF2B5EF4-FFF2-40B4-BE49-F238E27FC236}">
              <a16:creationId xmlns:a16="http://schemas.microsoft.com/office/drawing/2014/main" id="{9AE6BDDB-78A1-4EB9-931A-F4821C1172B0}"/>
            </a:ext>
          </a:extLst>
        </xdr:cNvPr>
        <xdr:cNvSpPr txBox="1"/>
      </xdr:nvSpPr>
      <xdr:spPr>
        <a:xfrm>
          <a:off x="7360120" y="1092436"/>
          <a:ext cx="2370667"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C00000"/>
              </a:solidFill>
              <a:latin typeface="Arial Black" panose="020B0A04020102020204" pitchFamily="34" charset="0"/>
            </a:rPr>
            <a:t>Active Employee</a:t>
          </a:r>
        </a:p>
      </xdr:txBody>
    </xdr:sp>
    <xdr:clientData/>
  </xdr:twoCellAnchor>
  <xdr:twoCellAnchor>
    <xdr:from>
      <xdr:col>15</xdr:col>
      <xdr:colOff>417453</xdr:colOff>
      <xdr:row>6</xdr:row>
      <xdr:rowOff>10584</xdr:rowOff>
    </xdr:from>
    <xdr:to>
      <xdr:col>19</xdr:col>
      <xdr:colOff>154046</xdr:colOff>
      <xdr:row>8</xdr:row>
      <xdr:rowOff>38806</xdr:rowOff>
    </xdr:to>
    <xdr:sp macro="" textlink="">
      <xdr:nvSpPr>
        <xdr:cNvPr id="12" name="TextBox 11">
          <a:extLst>
            <a:ext uri="{FF2B5EF4-FFF2-40B4-BE49-F238E27FC236}">
              <a16:creationId xmlns:a16="http://schemas.microsoft.com/office/drawing/2014/main" id="{BEE8FD85-9625-4DB8-AB29-751DC61B5996}"/>
            </a:ext>
          </a:extLst>
        </xdr:cNvPr>
        <xdr:cNvSpPr txBox="1"/>
      </xdr:nvSpPr>
      <xdr:spPr>
        <a:xfrm>
          <a:off x="10295231" y="1139473"/>
          <a:ext cx="2370667"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C00000"/>
              </a:solidFill>
              <a:latin typeface="Arial Black" panose="020B0A04020102020204" pitchFamily="34" charset="0"/>
            </a:rPr>
            <a:t>Attrition Rates</a:t>
          </a:r>
        </a:p>
      </xdr:txBody>
    </xdr:sp>
    <xdr:clientData/>
  </xdr:twoCellAnchor>
  <xdr:twoCellAnchor>
    <xdr:from>
      <xdr:col>16</xdr:col>
      <xdr:colOff>398639</xdr:colOff>
      <xdr:row>7</xdr:row>
      <xdr:rowOff>123473</xdr:rowOff>
    </xdr:from>
    <xdr:to>
      <xdr:col>18</xdr:col>
      <xdr:colOff>342195</xdr:colOff>
      <xdr:row>10</xdr:row>
      <xdr:rowOff>10584</xdr:rowOff>
    </xdr:to>
    <xdr:sp macro="" textlink="KPI!E8">
      <xdr:nvSpPr>
        <xdr:cNvPr id="13" name="TextBox 12">
          <a:extLst>
            <a:ext uri="{FF2B5EF4-FFF2-40B4-BE49-F238E27FC236}">
              <a16:creationId xmlns:a16="http://schemas.microsoft.com/office/drawing/2014/main" id="{AF542AFA-E499-4FFC-929A-01DC8369AF80}"/>
            </a:ext>
          </a:extLst>
        </xdr:cNvPr>
        <xdr:cNvSpPr txBox="1"/>
      </xdr:nvSpPr>
      <xdr:spPr>
        <a:xfrm>
          <a:off x="10934935" y="1440510"/>
          <a:ext cx="1260593" cy="4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441A50-A0E9-47A8-A633-B63DC15381E5}" type="TxLink">
            <a:rPr lang="en-US" sz="2600" b="0" i="0" u="none" strike="noStrike">
              <a:solidFill>
                <a:srgbClr val="002060"/>
              </a:solidFill>
              <a:latin typeface="Arial Black" panose="020B0A04020102020204" pitchFamily="34" charset="0"/>
              <a:ea typeface="Calibri"/>
              <a:cs typeface="Calibri"/>
            </a:rPr>
            <a:pPr/>
            <a:t>16.12%</a:t>
          </a:fld>
          <a:endParaRPr lang="en-US" sz="2600">
            <a:solidFill>
              <a:srgbClr val="002060"/>
            </a:solidFill>
            <a:latin typeface="Arial Black" panose="020B0A04020102020204" pitchFamily="34" charset="0"/>
          </a:endParaRPr>
        </a:p>
      </xdr:txBody>
    </xdr:sp>
    <xdr:clientData/>
  </xdr:twoCellAnchor>
  <xdr:twoCellAnchor>
    <xdr:from>
      <xdr:col>20</xdr:col>
      <xdr:colOff>59972</xdr:colOff>
      <xdr:row>5</xdr:row>
      <xdr:rowOff>179918</xdr:rowOff>
    </xdr:from>
    <xdr:to>
      <xdr:col>23</xdr:col>
      <xdr:colOff>455083</xdr:colOff>
      <xdr:row>8</xdr:row>
      <xdr:rowOff>19992</xdr:rowOff>
    </xdr:to>
    <xdr:sp macro="" textlink="">
      <xdr:nvSpPr>
        <xdr:cNvPr id="14" name="TextBox 13">
          <a:extLst>
            <a:ext uri="{FF2B5EF4-FFF2-40B4-BE49-F238E27FC236}">
              <a16:creationId xmlns:a16="http://schemas.microsoft.com/office/drawing/2014/main" id="{141D2095-260B-4703-9B3B-5AA228AD8546}"/>
            </a:ext>
          </a:extLst>
        </xdr:cNvPr>
        <xdr:cNvSpPr txBox="1"/>
      </xdr:nvSpPr>
      <xdr:spPr>
        <a:xfrm>
          <a:off x="13230342" y="1120659"/>
          <a:ext cx="2370667"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C00000"/>
              </a:solidFill>
              <a:latin typeface="Arial Black" panose="020B0A04020102020204" pitchFamily="34" charset="0"/>
            </a:rPr>
            <a:t>Average</a:t>
          </a:r>
          <a:r>
            <a:rPr lang="en-US" sz="1800" b="1" baseline="0">
              <a:solidFill>
                <a:srgbClr val="C00000"/>
              </a:solidFill>
              <a:latin typeface="Arial Black" panose="020B0A04020102020204" pitchFamily="34" charset="0"/>
            </a:rPr>
            <a:t> Age</a:t>
          </a:r>
          <a:endParaRPr lang="en-US" sz="1800" b="1">
            <a:solidFill>
              <a:srgbClr val="C00000"/>
            </a:solidFill>
            <a:latin typeface="Arial Black" panose="020B0A04020102020204" pitchFamily="34" charset="0"/>
          </a:endParaRPr>
        </a:p>
      </xdr:txBody>
    </xdr:sp>
    <xdr:clientData/>
  </xdr:twoCellAnchor>
  <xdr:twoCellAnchor>
    <xdr:from>
      <xdr:col>21</xdr:col>
      <xdr:colOff>69378</xdr:colOff>
      <xdr:row>7</xdr:row>
      <xdr:rowOff>114066</xdr:rowOff>
    </xdr:from>
    <xdr:to>
      <xdr:col>23</xdr:col>
      <xdr:colOff>12934</xdr:colOff>
      <xdr:row>10</xdr:row>
      <xdr:rowOff>1177</xdr:rowOff>
    </xdr:to>
    <xdr:sp macro="" textlink="KPI!C8">
      <xdr:nvSpPr>
        <xdr:cNvPr id="15" name="TextBox 14">
          <a:extLst>
            <a:ext uri="{FF2B5EF4-FFF2-40B4-BE49-F238E27FC236}">
              <a16:creationId xmlns:a16="http://schemas.microsoft.com/office/drawing/2014/main" id="{5D263C4E-F523-4702-B291-57864EFD7016}"/>
            </a:ext>
          </a:extLst>
        </xdr:cNvPr>
        <xdr:cNvSpPr txBox="1"/>
      </xdr:nvSpPr>
      <xdr:spPr>
        <a:xfrm>
          <a:off x="13898267" y="1431103"/>
          <a:ext cx="1260593" cy="4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A03F4F-5CFE-462C-8FFA-9A3419EA1871}" type="TxLink">
            <a:rPr lang="en-US" sz="2600" b="0" i="0" u="none" strike="noStrike">
              <a:solidFill>
                <a:srgbClr val="002060"/>
              </a:solidFill>
              <a:latin typeface="Arial Black" panose="020B0A04020102020204" pitchFamily="34" charset="0"/>
              <a:ea typeface="Calibri"/>
              <a:cs typeface="Calibri"/>
            </a:rPr>
            <a:pPr/>
            <a:t>37</a:t>
          </a:fld>
          <a:endParaRPr lang="en-US" sz="2600">
            <a:solidFill>
              <a:srgbClr val="002060"/>
            </a:solidFill>
            <a:latin typeface="Arial Black" panose="020B0A04020102020204" pitchFamily="34" charset="0"/>
          </a:endParaRPr>
        </a:p>
      </xdr:txBody>
    </xdr:sp>
    <xdr:clientData/>
  </xdr:twoCellAnchor>
  <xdr:oneCellAnchor>
    <xdr:from>
      <xdr:col>5</xdr:col>
      <xdr:colOff>357482</xdr:colOff>
      <xdr:row>6</xdr:row>
      <xdr:rowOff>114066</xdr:rowOff>
    </xdr:from>
    <xdr:ext cx="412162" cy="375119"/>
    <xdr:pic>
      <xdr:nvPicPr>
        <xdr:cNvPr id="16" name="image4.png">
          <a:extLst>
            <a:ext uri="{FF2B5EF4-FFF2-40B4-BE49-F238E27FC236}">
              <a16:creationId xmlns:a16="http://schemas.microsoft.com/office/drawing/2014/main" id="{EDE866F6-A71A-421E-ACBC-56B031C6C0ED}"/>
            </a:ext>
          </a:extLst>
        </xdr:cNvPr>
        <xdr:cNvPicPr preferRelativeResize="0"/>
      </xdr:nvPicPr>
      <xdr:blipFill>
        <a:blip xmlns:r="http://schemas.openxmlformats.org/officeDocument/2006/relationships" r:embed="rId1" cstate="print"/>
        <a:stretch>
          <a:fillRect/>
        </a:stretch>
      </xdr:blipFill>
      <xdr:spPr>
        <a:xfrm>
          <a:off x="3650075" y="1242955"/>
          <a:ext cx="412162" cy="375119"/>
        </a:xfrm>
        <a:prstGeom prst="rect">
          <a:avLst/>
        </a:prstGeom>
        <a:noFill/>
      </xdr:spPr>
    </xdr:pic>
    <xdr:clientData fLocksWithSheet="0"/>
  </xdr:oneCellAnchor>
  <xdr:oneCellAnchor>
    <xdr:from>
      <xdr:col>18</xdr:col>
      <xdr:colOff>555037</xdr:colOff>
      <xdr:row>6</xdr:row>
      <xdr:rowOff>114065</xdr:rowOff>
    </xdr:from>
    <xdr:ext cx="488127" cy="403342"/>
    <xdr:pic>
      <xdr:nvPicPr>
        <xdr:cNvPr id="17" name="image2.png">
          <a:extLst>
            <a:ext uri="{FF2B5EF4-FFF2-40B4-BE49-F238E27FC236}">
              <a16:creationId xmlns:a16="http://schemas.microsoft.com/office/drawing/2014/main" id="{5B240CFE-0D8D-4B20-A641-D359D92B3B27}"/>
            </a:ext>
          </a:extLst>
        </xdr:cNvPr>
        <xdr:cNvPicPr preferRelativeResize="0"/>
      </xdr:nvPicPr>
      <xdr:blipFill>
        <a:blip xmlns:r="http://schemas.openxmlformats.org/officeDocument/2006/relationships" r:embed="rId2" cstate="print"/>
        <a:stretch>
          <a:fillRect/>
        </a:stretch>
      </xdr:blipFill>
      <xdr:spPr>
        <a:xfrm>
          <a:off x="12408370" y="1242954"/>
          <a:ext cx="488127" cy="403342"/>
        </a:xfrm>
        <a:prstGeom prst="rect">
          <a:avLst/>
        </a:prstGeom>
        <a:noFill/>
      </xdr:spPr>
    </xdr:pic>
    <xdr:clientData fLocksWithSheet="0"/>
  </xdr:oneCellAnchor>
  <xdr:oneCellAnchor>
    <xdr:from>
      <xdr:col>9</xdr:col>
      <xdr:colOff>479778</xdr:colOff>
      <xdr:row>6</xdr:row>
      <xdr:rowOff>56444</xdr:rowOff>
    </xdr:from>
    <xdr:ext cx="608070" cy="508000"/>
    <xdr:pic>
      <xdr:nvPicPr>
        <xdr:cNvPr id="18" name="image7.png">
          <a:extLst>
            <a:ext uri="{FF2B5EF4-FFF2-40B4-BE49-F238E27FC236}">
              <a16:creationId xmlns:a16="http://schemas.microsoft.com/office/drawing/2014/main" id="{9907B875-F8E4-43B4-B37A-BC4909F46B21}"/>
            </a:ext>
          </a:extLst>
        </xdr:cNvPr>
        <xdr:cNvPicPr preferRelativeResize="0"/>
      </xdr:nvPicPr>
      <xdr:blipFill>
        <a:blip xmlns:r="http://schemas.openxmlformats.org/officeDocument/2006/relationships" r:embed="rId3" cstate="print"/>
        <a:stretch>
          <a:fillRect/>
        </a:stretch>
      </xdr:blipFill>
      <xdr:spPr>
        <a:xfrm>
          <a:off x="6406445" y="1185333"/>
          <a:ext cx="608070" cy="508000"/>
        </a:xfrm>
        <a:prstGeom prst="rect">
          <a:avLst/>
        </a:prstGeom>
        <a:noFill/>
      </xdr:spPr>
    </xdr:pic>
    <xdr:clientData fLocksWithSheet="0"/>
  </xdr:oneCellAnchor>
  <xdr:oneCellAnchor>
    <xdr:from>
      <xdr:col>14</xdr:col>
      <xdr:colOff>423333</xdr:colOff>
      <xdr:row>6</xdr:row>
      <xdr:rowOff>65851</xdr:rowOff>
    </xdr:from>
    <xdr:ext cx="503767" cy="432741"/>
    <xdr:pic>
      <xdr:nvPicPr>
        <xdr:cNvPr id="19" name="image5.png">
          <a:extLst>
            <a:ext uri="{FF2B5EF4-FFF2-40B4-BE49-F238E27FC236}">
              <a16:creationId xmlns:a16="http://schemas.microsoft.com/office/drawing/2014/main" id="{3577C559-AE76-4840-8EA4-69CEF82BDB38}"/>
            </a:ext>
          </a:extLst>
        </xdr:cNvPr>
        <xdr:cNvPicPr preferRelativeResize="0"/>
      </xdr:nvPicPr>
      <xdr:blipFill>
        <a:blip xmlns:r="http://schemas.openxmlformats.org/officeDocument/2006/relationships" r:embed="rId4" cstate="print"/>
        <a:stretch>
          <a:fillRect/>
        </a:stretch>
      </xdr:blipFill>
      <xdr:spPr>
        <a:xfrm>
          <a:off x="9642592" y="1194740"/>
          <a:ext cx="503767" cy="432741"/>
        </a:xfrm>
        <a:prstGeom prst="rect">
          <a:avLst/>
        </a:prstGeom>
        <a:noFill/>
      </xdr:spPr>
    </xdr:pic>
    <xdr:clientData fLocksWithSheet="0"/>
  </xdr:oneCellAnchor>
  <xdr:oneCellAnchor>
    <xdr:from>
      <xdr:col>23</xdr:col>
      <xdr:colOff>47037</xdr:colOff>
      <xdr:row>6</xdr:row>
      <xdr:rowOff>94073</xdr:rowOff>
    </xdr:from>
    <xdr:ext cx="426979" cy="338668"/>
    <xdr:pic>
      <xdr:nvPicPr>
        <xdr:cNvPr id="20" name="image6.png">
          <a:extLst>
            <a:ext uri="{FF2B5EF4-FFF2-40B4-BE49-F238E27FC236}">
              <a16:creationId xmlns:a16="http://schemas.microsoft.com/office/drawing/2014/main" id="{8B45018C-D11E-4F66-B58A-424CED6CF8DF}"/>
            </a:ext>
          </a:extLst>
        </xdr:cNvPr>
        <xdr:cNvPicPr preferRelativeResize="0"/>
      </xdr:nvPicPr>
      <xdr:blipFill>
        <a:blip xmlns:r="http://schemas.openxmlformats.org/officeDocument/2006/relationships" r:embed="rId5" cstate="print"/>
        <a:stretch>
          <a:fillRect/>
        </a:stretch>
      </xdr:blipFill>
      <xdr:spPr>
        <a:xfrm>
          <a:off x="15192963" y="1222962"/>
          <a:ext cx="426979" cy="338668"/>
        </a:xfrm>
        <a:prstGeom prst="rect">
          <a:avLst/>
        </a:prstGeom>
        <a:noFill/>
      </xdr:spPr>
    </xdr:pic>
    <xdr:clientData fLocksWithSheet="0"/>
  </xdr:oneCellAnchor>
  <xdr:twoCellAnchor>
    <xdr:from>
      <xdr:col>3</xdr:col>
      <xdr:colOff>620888</xdr:colOff>
      <xdr:row>1</xdr:row>
      <xdr:rowOff>84667</xdr:rowOff>
    </xdr:from>
    <xdr:to>
      <xdr:col>15</xdr:col>
      <xdr:colOff>498592</xdr:colOff>
      <xdr:row>4</xdr:row>
      <xdr:rowOff>141110</xdr:rowOff>
    </xdr:to>
    <xdr:sp macro="" textlink="">
      <xdr:nvSpPr>
        <xdr:cNvPr id="21" name="TextBox 20">
          <a:extLst>
            <a:ext uri="{FF2B5EF4-FFF2-40B4-BE49-F238E27FC236}">
              <a16:creationId xmlns:a16="http://schemas.microsoft.com/office/drawing/2014/main" id="{FAAE002F-DAC2-B367-CD07-41DAA570CC5F}"/>
            </a:ext>
          </a:extLst>
        </xdr:cNvPr>
        <xdr:cNvSpPr txBox="1"/>
      </xdr:nvSpPr>
      <xdr:spPr>
        <a:xfrm>
          <a:off x="2596444" y="272815"/>
          <a:ext cx="7779926" cy="620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accent1">
                  <a:lumMod val="75000"/>
                </a:schemeClr>
              </a:solidFill>
              <a:effectLst>
                <a:outerShdw blurRad="50800" dist="50800" dir="5400000" algn="ctr" rotWithShape="0">
                  <a:srgbClr val="000000">
                    <a:alpha val="99000"/>
                  </a:srgbClr>
                </a:outerShdw>
              </a:effectLst>
              <a:latin typeface="Arial Black" panose="020B0A04020102020204" pitchFamily="34" charset="0"/>
            </a:rPr>
            <a:t>HR ANALYITICS</a:t>
          </a:r>
          <a:r>
            <a:rPr lang="en-US" sz="3200" baseline="0">
              <a:solidFill>
                <a:schemeClr val="accent1">
                  <a:lumMod val="75000"/>
                </a:schemeClr>
              </a:solidFill>
              <a:effectLst>
                <a:outerShdw blurRad="50800" dist="50800" dir="5400000" algn="ctr" rotWithShape="0">
                  <a:srgbClr val="000000">
                    <a:alpha val="99000"/>
                  </a:srgbClr>
                </a:outerShdw>
              </a:effectLst>
              <a:latin typeface="Arial Black" panose="020B0A04020102020204" pitchFamily="34" charset="0"/>
            </a:rPr>
            <a:t> DASHBOARD</a:t>
          </a:r>
          <a:endParaRPr lang="en-US" sz="3200">
            <a:solidFill>
              <a:schemeClr val="accent1">
                <a:lumMod val="75000"/>
              </a:schemeClr>
            </a:solidFill>
            <a:effectLst>
              <a:outerShdw blurRad="50800" dist="50800" dir="5400000" algn="ctr" rotWithShape="0">
                <a:srgbClr val="000000">
                  <a:alpha val="99000"/>
                </a:srgbClr>
              </a:outerShdw>
            </a:effectLst>
            <a:latin typeface="Arial Black" panose="020B0A04020102020204" pitchFamily="34" charset="0"/>
          </a:endParaRPr>
        </a:p>
      </xdr:txBody>
    </xdr:sp>
    <xdr:clientData/>
  </xdr:twoCellAnchor>
  <xdr:oneCellAnchor>
    <xdr:from>
      <xdr:col>2</xdr:col>
      <xdr:colOff>338667</xdr:colOff>
      <xdr:row>1</xdr:row>
      <xdr:rowOff>84668</xdr:rowOff>
    </xdr:from>
    <xdr:ext cx="884297" cy="630296"/>
    <xdr:pic>
      <xdr:nvPicPr>
        <xdr:cNvPr id="22" name="image1.png">
          <a:extLst>
            <a:ext uri="{FF2B5EF4-FFF2-40B4-BE49-F238E27FC236}">
              <a16:creationId xmlns:a16="http://schemas.microsoft.com/office/drawing/2014/main" id="{A50D935E-C28C-4CD0-84CE-70C5B03A07AE}"/>
            </a:ext>
          </a:extLst>
        </xdr:cNvPr>
        <xdr:cNvPicPr preferRelativeResize="0"/>
      </xdr:nvPicPr>
      <xdr:blipFill>
        <a:blip xmlns:r="http://schemas.openxmlformats.org/officeDocument/2006/relationships" r:embed="rId6" cstate="print"/>
        <a:stretch>
          <a:fillRect/>
        </a:stretch>
      </xdr:blipFill>
      <xdr:spPr>
        <a:xfrm>
          <a:off x="1655704" y="272816"/>
          <a:ext cx="884297" cy="630296"/>
        </a:xfrm>
        <a:prstGeom prst="rect">
          <a:avLst/>
        </a:prstGeom>
        <a:noFill/>
      </xdr:spPr>
    </xdr:pic>
    <xdr:clientData fLocksWithSheet="0"/>
  </xdr:oneCellAnchor>
  <xdr:oneCellAnchor>
    <xdr:from>
      <xdr:col>15</xdr:col>
      <xdr:colOff>332786</xdr:colOff>
      <xdr:row>1</xdr:row>
      <xdr:rowOff>114065</xdr:rowOff>
    </xdr:from>
    <xdr:ext cx="723900" cy="628650"/>
    <xdr:pic>
      <xdr:nvPicPr>
        <xdr:cNvPr id="23" name="image3.png">
          <a:extLst>
            <a:ext uri="{FF2B5EF4-FFF2-40B4-BE49-F238E27FC236}">
              <a16:creationId xmlns:a16="http://schemas.microsoft.com/office/drawing/2014/main" id="{252E6741-E4DF-4823-9306-35B40F981086}"/>
            </a:ext>
          </a:extLst>
        </xdr:cNvPr>
        <xdr:cNvPicPr preferRelativeResize="0"/>
      </xdr:nvPicPr>
      <xdr:blipFill>
        <a:blip xmlns:r="http://schemas.openxmlformats.org/officeDocument/2006/relationships" r:embed="rId7" cstate="print"/>
        <a:stretch>
          <a:fillRect/>
        </a:stretch>
      </xdr:blipFill>
      <xdr:spPr>
        <a:xfrm>
          <a:off x="10210564" y="302213"/>
          <a:ext cx="723900" cy="628650"/>
        </a:xfrm>
        <a:prstGeom prst="rect">
          <a:avLst/>
        </a:prstGeom>
        <a:noFill/>
      </xdr:spPr>
    </xdr:pic>
    <xdr:clientData fLocksWithSheet="0"/>
  </xdr:oneCellAnchor>
  <xdr:twoCellAnchor>
    <xdr:from>
      <xdr:col>16</xdr:col>
      <xdr:colOff>583261</xdr:colOff>
      <xdr:row>1</xdr:row>
      <xdr:rowOff>103482</xdr:rowOff>
    </xdr:from>
    <xdr:to>
      <xdr:col>19</xdr:col>
      <xdr:colOff>84667</xdr:colOff>
      <xdr:row>4</xdr:row>
      <xdr:rowOff>169333</xdr:rowOff>
    </xdr:to>
    <xdr:sp macro="" textlink="">
      <xdr:nvSpPr>
        <xdr:cNvPr id="24" name="TextBox 23">
          <a:extLst>
            <a:ext uri="{FF2B5EF4-FFF2-40B4-BE49-F238E27FC236}">
              <a16:creationId xmlns:a16="http://schemas.microsoft.com/office/drawing/2014/main" id="{A11C1EBD-40F4-6FA9-6B1F-8F6DA779DBD1}"/>
            </a:ext>
          </a:extLst>
        </xdr:cNvPr>
        <xdr:cNvSpPr txBox="1"/>
      </xdr:nvSpPr>
      <xdr:spPr>
        <a:xfrm>
          <a:off x="11119557" y="291630"/>
          <a:ext cx="1476962" cy="63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602928"/>
              </a:solidFill>
              <a:latin typeface="Arial Black" panose="020B0A04020102020204" pitchFamily="34" charset="0"/>
            </a:rPr>
            <a:t>JOB STATISFACTION RATING</a:t>
          </a:r>
        </a:p>
      </xdr:txBody>
    </xdr:sp>
    <xdr:clientData/>
  </xdr:twoCellAnchor>
  <xdr:twoCellAnchor>
    <xdr:from>
      <xdr:col>18</xdr:col>
      <xdr:colOff>473899</xdr:colOff>
      <xdr:row>0</xdr:row>
      <xdr:rowOff>179919</xdr:rowOff>
    </xdr:from>
    <xdr:to>
      <xdr:col>20</xdr:col>
      <xdr:colOff>225779</xdr:colOff>
      <xdr:row>4</xdr:row>
      <xdr:rowOff>169334</xdr:rowOff>
    </xdr:to>
    <xdr:graphicFrame macro="">
      <xdr:nvGraphicFramePr>
        <xdr:cNvPr id="25" name="Chart 24">
          <a:extLst>
            <a:ext uri="{FF2B5EF4-FFF2-40B4-BE49-F238E27FC236}">
              <a16:creationId xmlns:a16="http://schemas.microsoft.com/office/drawing/2014/main" id="{46830382-6AE7-41E9-9829-B99A382BB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272815</xdr:colOff>
      <xdr:row>1</xdr:row>
      <xdr:rowOff>122295</xdr:rowOff>
    </xdr:from>
    <xdr:to>
      <xdr:col>24</xdr:col>
      <xdr:colOff>75260</xdr:colOff>
      <xdr:row>4</xdr:row>
      <xdr:rowOff>159925</xdr:rowOff>
    </xdr:to>
    <xdr:graphicFrame macro="">
      <xdr:nvGraphicFramePr>
        <xdr:cNvPr id="54" name="Chart 53">
          <a:extLst>
            <a:ext uri="{FF2B5EF4-FFF2-40B4-BE49-F238E27FC236}">
              <a16:creationId xmlns:a16="http://schemas.microsoft.com/office/drawing/2014/main" id="{3367FC77-8703-42E8-9A1B-C27AD5253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376296</xdr:colOff>
      <xdr:row>2</xdr:row>
      <xdr:rowOff>47036</xdr:rowOff>
    </xdr:from>
    <xdr:to>
      <xdr:col>24</xdr:col>
      <xdr:colOff>37631</xdr:colOff>
      <xdr:row>4</xdr:row>
      <xdr:rowOff>28220</xdr:rowOff>
    </xdr:to>
    <xdr:sp macro="" textlink="">
      <xdr:nvSpPr>
        <xdr:cNvPr id="55" name="Freeform: Shape 54">
          <a:extLst>
            <a:ext uri="{FF2B5EF4-FFF2-40B4-BE49-F238E27FC236}">
              <a16:creationId xmlns:a16="http://schemas.microsoft.com/office/drawing/2014/main" id="{51A28C8A-5AD6-C982-5D8F-F521A7C474FA}"/>
            </a:ext>
          </a:extLst>
        </xdr:cNvPr>
        <xdr:cNvSpPr/>
      </xdr:nvSpPr>
      <xdr:spPr>
        <a:xfrm>
          <a:off x="13546666" y="423332"/>
          <a:ext cx="2295409" cy="357481"/>
        </a:xfrm>
        <a:custGeom>
          <a:avLst/>
          <a:gdLst>
            <a:gd name="connsiteX0" fmla="*/ 353508 w 2121031"/>
            <a:gd name="connsiteY0" fmla="*/ 75414 h 499621"/>
            <a:gd name="connsiteX1" fmla="*/ 301212 w 2121031"/>
            <a:gd name="connsiteY1" fmla="*/ 201440 h 499621"/>
            <a:gd name="connsiteX2" fmla="*/ 131978 w 2121031"/>
            <a:gd name="connsiteY2" fmla="*/ 201439 h 499621"/>
            <a:gd name="connsiteX3" fmla="*/ 268892 w 2121031"/>
            <a:gd name="connsiteY3" fmla="*/ 279327 h 499621"/>
            <a:gd name="connsiteX4" fmla="*/ 216595 w 2121031"/>
            <a:gd name="connsiteY4" fmla="*/ 405352 h 499621"/>
            <a:gd name="connsiteX5" fmla="*/ 353508 w 2121031"/>
            <a:gd name="connsiteY5" fmla="*/ 327463 h 499621"/>
            <a:gd name="connsiteX6" fmla="*/ 490420 w 2121031"/>
            <a:gd name="connsiteY6" fmla="*/ 405352 h 499621"/>
            <a:gd name="connsiteX7" fmla="*/ 438123 w 2121031"/>
            <a:gd name="connsiteY7" fmla="*/ 279327 h 499621"/>
            <a:gd name="connsiteX8" fmla="*/ 575037 w 2121031"/>
            <a:gd name="connsiteY8" fmla="*/ 201439 h 499621"/>
            <a:gd name="connsiteX9" fmla="*/ 711951 w 2121031"/>
            <a:gd name="connsiteY9" fmla="*/ 279327 h 499621"/>
            <a:gd name="connsiteX10" fmla="*/ 659654 w 2121031"/>
            <a:gd name="connsiteY10" fmla="*/ 405352 h 499621"/>
            <a:gd name="connsiteX11" fmla="*/ 796567 w 2121031"/>
            <a:gd name="connsiteY11" fmla="*/ 327463 h 499621"/>
            <a:gd name="connsiteX12" fmla="*/ 933479 w 2121031"/>
            <a:gd name="connsiteY12" fmla="*/ 405352 h 499621"/>
            <a:gd name="connsiteX13" fmla="*/ 881182 w 2121031"/>
            <a:gd name="connsiteY13" fmla="*/ 279327 h 499621"/>
            <a:gd name="connsiteX14" fmla="*/ 1018096 w 2121031"/>
            <a:gd name="connsiteY14" fmla="*/ 201439 h 499621"/>
            <a:gd name="connsiteX15" fmla="*/ 1155010 w 2121031"/>
            <a:gd name="connsiteY15" fmla="*/ 279327 h 499621"/>
            <a:gd name="connsiteX16" fmla="*/ 1102713 w 2121031"/>
            <a:gd name="connsiteY16" fmla="*/ 405352 h 499621"/>
            <a:gd name="connsiteX17" fmla="*/ 1239626 w 2121031"/>
            <a:gd name="connsiteY17" fmla="*/ 327463 h 499621"/>
            <a:gd name="connsiteX18" fmla="*/ 1376538 w 2121031"/>
            <a:gd name="connsiteY18" fmla="*/ 405352 h 499621"/>
            <a:gd name="connsiteX19" fmla="*/ 1324241 w 2121031"/>
            <a:gd name="connsiteY19" fmla="*/ 279327 h 499621"/>
            <a:gd name="connsiteX20" fmla="*/ 1461155 w 2121031"/>
            <a:gd name="connsiteY20" fmla="*/ 201439 h 499621"/>
            <a:gd name="connsiteX21" fmla="*/ 1598069 w 2121031"/>
            <a:gd name="connsiteY21" fmla="*/ 279327 h 499621"/>
            <a:gd name="connsiteX22" fmla="*/ 1545772 w 2121031"/>
            <a:gd name="connsiteY22" fmla="*/ 405352 h 499621"/>
            <a:gd name="connsiteX23" fmla="*/ 1682685 w 2121031"/>
            <a:gd name="connsiteY23" fmla="*/ 327463 h 499621"/>
            <a:gd name="connsiteX24" fmla="*/ 1819597 w 2121031"/>
            <a:gd name="connsiteY24" fmla="*/ 405352 h 499621"/>
            <a:gd name="connsiteX25" fmla="*/ 1767300 w 2121031"/>
            <a:gd name="connsiteY25" fmla="*/ 279327 h 499621"/>
            <a:gd name="connsiteX26" fmla="*/ 1904214 w 2121031"/>
            <a:gd name="connsiteY26" fmla="*/ 201439 h 499621"/>
            <a:gd name="connsiteX27" fmla="*/ 1734980 w 2121031"/>
            <a:gd name="connsiteY27" fmla="*/ 201440 h 499621"/>
            <a:gd name="connsiteX28" fmla="*/ 1682685 w 2121031"/>
            <a:gd name="connsiteY28" fmla="*/ 75414 h 499621"/>
            <a:gd name="connsiteX29" fmla="*/ 1630389 w 2121031"/>
            <a:gd name="connsiteY29" fmla="*/ 201440 h 499621"/>
            <a:gd name="connsiteX30" fmla="*/ 1461155 w 2121031"/>
            <a:gd name="connsiteY30" fmla="*/ 201439 h 499621"/>
            <a:gd name="connsiteX31" fmla="*/ 1291921 w 2121031"/>
            <a:gd name="connsiteY31" fmla="*/ 201440 h 499621"/>
            <a:gd name="connsiteX32" fmla="*/ 1239626 w 2121031"/>
            <a:gd name="connsiteY32" fmla="*/ 75414 h 499621"/>
            <a:gd name="connsiteX33" fmla="*/ 1187330 w 2121031"/>
            <a:gd name="connsiteY33" fmla="*/ 201440 h 499621"/>
            <a:gd name="connsiteX34" fmla="*/ 1018096 w 2121031"/>
            <a:gd name="connsiteY34" fmla="*/ 201439 h 499621"/>
            <a:gd name="connsiteX35" fmla="*/ 848862 w 2121031"/>
            <a:gd name="connsiteY35" fmla="*/ 201440 h 499621"/>
            <a:gd name="connsiteX36" fmla="*/ 796567 w 2121031"/>
            <a:gd name="connsiteY36" fmla="*/ 75414 h 499621"/>
            <a:gd name="connsiteX37" fmla="*/ 744271 w 2121031"/>
            <a:gd name="connsiteY37" fmla="*/ 201440 h 499621"/>
            <a:gd name="connsiteX38" fmla="*/ 575037 w 2121031"/>
            <a:gd name="connsiteY38" fmla="*/ 201439 h 499621"/>
            <a:gd name="connsiteX39" fmla="*/ 405803 w 2121031"/>
            <a:gd name="connsiteY39" fmla="*/ 201440 h 499621"/>
            <a:gd name="connsiteX40" fmla="*/ 0 w 2121031"/>
            <a:gd name="connsiteY40" fmla="*/ 0 h 499621"/>
            <a:gd name="connsiteX41" fmla="*/ 2121031 w 2121031"/>
            <a:gd name="connsiteY41" fmla="*/ 0 h 499621"/>
            <a:gd name="connsiteX42" fmla="*/ 2121031 w 2121031"/>
            <a:gd name="connsiteY42" fmla="*/ 499621 h 499621"/>
            <a:gd name="connsiteX43" fmla="*/ 0 w 2121031"/>
            <a:gd name="connsiteY43" fmla="*/ 499621 h 4996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121031" h="499621">
              <a:moveTo>
                <a:pt x="353508" y="75414"/>
              </a:moveTo>
              <a:lnTo>
                <a:pt x="301212" y="201440"/>
              </a:lnTo>
              <a:lnTo>
                <a:pt x="131978" y="201439"/>
              </a:lnTo>
              <a:lnTo>
                <a:pt x="268892" y="279327"/>
              </a:lnTo>
              <a:lnTo>
                <a:pt x="216595" y="405352"/>
              </a:lnTo>
              <a:lnTo>
                <a:pt x="353508" y="327463"/>
              </a:lnTo>
              <a:lnTo>
                <a:pt x="490420" y="405352"/>
              </a:lnTo>
              <a:lnTo>
                <a:pt x="438123" y="279327"/>
              </a:lnTo>
              <a:lnTo>
                <a:pt x="575037" y="201439"/>
              </a:lnTo>
              <a:lnTo>
                <a:pt x="711951" y="279327"/>
              </a:lnTo>
              <a:lnTo>
                <a:pt x="659654" y="405352"/>
              </a:lnTo>
              <a:lnTo>
                <a:pt x="796567" y="327463"/>
              </a:lnTo>
              <a:lnTo>
                <a:pt x="933479" y="405352"/>
              </a:lnTo>
              <a:lnTo>
                <a:pt x="881182" y="279327"/>
              </a:lnTo>
              <a:lnTo>
                <a:pt x="1018096" y="201439"/>
              </a:lnTo>
              <a:lnTo>
                <a:pt x="1155010" y="279327"/>
              </a:lnTo>
              <a:lnTo>
                <a:pt x="1102713" y="405352"/>
              </a:lnTo>
              <a:lnTo>
                <a:pt x="1239626" y="327463"/>
              </a:lnTo>
              <a:lnTo>
                <a:pt x="1376538" y="405352"/>
              </a:lnTo>
              <a:lnTo>
                <a:pt x="1324241" y="279327"/>
              </a:lnTo>
              <a:lnTo>
                <a:pt x="1461155" y="201439"/>
              </a:lnTo>
              <a:lnTo>
                <a:pt x="1598069" y="279327"/>
              </a:lnTo>
              <a:lnTo>
                <a:pt x="1545772" y="405352"/>
              </a:lnTo>
              <a:lnTo>
                <a:pt x="1682685" y="327463"/>
              </a:lnTo>
              <a:lnTo>
                <a:pt x="1819597" y="405352"/>
              </a:lnTo>
              <a:lnTo>
                <a:pt x="1767300" y="279327"/>
              </a:lnTo>
              <a:lnTo>
                <a:pt x="1904214" y="201439"/>
              </a:lnTo>
              <a:lnTo>
                <a:pt x="1734980" y="201440"/>
              </a:lnTo>
              <a:lnTo>
                <a:pt x="1682685" y="75414"/>
              </a:lnTo>
              <a:lnTo>
                <a:pt x="1630389" y="201440"/>
              </a:lnTo>
              <a:lnTo>
                <a:pt x="1461155" y="201439"/>
              </a:lnTo>
              <a:lnTo>
                <a:pt x="1291921" y="201440"/>
              </a:lnTo>
              <a:lnTo>
                <a:pt x="1239626" y="75414"/>
              </a:lnTo>
              <a:lnTo>
                <a:pt x="1187330" y="201440"/>
              </a:lnTo>
              <a:lnTo>
                <a:pt x="1018096" y="201439"/>
              </a:lnTo>
              <a:lnTo>
                <a:pt x="848862" y="201440"/>
              </a:lnTo>
              <a:lnTo>
                <a:pt x="796567" y="75414"/>
              </a:lnTo>
              <a:lnTo>
                <a:pt x="744271" y="201440"/>
              </a:lnTo>
              <a:lnTo>
                <a:pt x="575037" y="201439"/>
              </a:lnTo>
              <a:lnTo>
                <a:pt x="405803" y="201440"/>
              </a:lnTo>
              <a:close/>
              <a:moveTo>
                <a:pt x="0" y="0"/>
              </a:moveTo>
              <a:lnTo>
                <a:pt x="2121031" y="0"/>
              </a:lnTo>
              <a:lnTo>
                <a:pt x="2121031" y="499621"/>
              </a:lnTo>
              <a:lnTo>
                <a:pt x="0" y="499621"/>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389231</xdr:colOff>
      <xdr:row>16</xdr:row>
      <xdr:rowOff>131704</xdr:rowOff>
    </xdr:from>
    <xdr:to>
      <xdr:col>6</xdr:col>
      <xdr:colOff>291630</xdr:colOff>
      <xdr:row>24</xdr:row>
      <xdr:rowOff>159923</xdr:rowOff>
    </xdr:to>
    <xdr:graphicFrame macro="">
      <xdr:nvGraphicFramePr>
        <xdr:cNvPr id="9" name="Chart 8">
          <a:extLst>
            <a:ext uri="{FF2B5EF4-FFF2-40B4-BE49-F238E27FC236}">
              <a16:creationId xmlns:a16="http://schemas.microsoft.com/office/drawing/2014/main" id="{2EA5E306-1192-4593-832D-F367DD64E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150518</xdr:colOff>
      <xdr:row>16</xdr:row>
      <xdr:rowOff>103483</xdr:rowOff>
    </xdr:from>
    <xdr:to>
      <xdr:col>9</xdr:col>
      <xdr:colOff>470369</xdr:colOff>
      <xdr:row>25</xdr:row>
      <xdr:rowOff>28223</xdr:rowOff>
    </xdr:to>
    <xdr:graphicFrame macro="">
      <xdr:nvGraphicFramePr>
        <xdr:cNvPr id="26" name="Chart 25">
          <a:extLst>
            <a:ext uri="{FF2B5EF4-FFF2-40B4-BE49-F238E27FC236}">
              <a16:creationId xmlns:a16="http://schemas.microsoft.com/office/drawing/2014/main" id="{BA9966A6-8C2F-49E1-8A1B-77A0FE7F4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329257</xdr:colOff>
      <xdr:row>19</xdr:row>
      <xdr:rowOff>103480</xdr:rowOff>
    </xdr:from>
    <xdr:to>
      <xdr:col>6</xdr:col>
      <xdr:colOff>310443</xdr:colOff>
      <xdr:row>22</xdr:row>
      <xdr:rowOff>178740</xdr:rowOff>
    </xdr:to>
    <xdr:pic>
      <xdr:nvPicPr>
        <xdr:cNvPr id="59" name="Graphic 58" descr="Male profile">
          <a:extLst>
            <a:ext uri="{FF2B5EF4-FFF2-40B4-BE49-F238E27FC236}">
              <a16:creationId xmlns:a16="http://schemas.microsoft.com/office/drawing/2014/main" id="{2ECE279C-AF5B-759C-672E-6FDA719A884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21850" y="3678295"/>
          <a:ext cx="639704" cy="639704"/>
        </a:xfrm>
        <a:prstGeom prst="rect">
          <a:avLst/>
        </a:prstGeom>
      </xdr:spPr>
    </xdr:pic>
    <xdr:clientData/>
  </xdr:twoCellAnchor>
  <xdr:twoCellAnchor editAs="oneCell">
    <xdr:from>
      <xdr:col>4</xdr:col>
      <xdr:colOff>293511</xdr:colOff>
      <xdr:row>19</xdr:row>
      <xdr:rowOff>103480</xdr:rowOff>
    </xdr:from>
    <xdr:to>
      <xdr:col>5</xdr:col>
      <xdr:colOff>284103</xdr:colOff>
      <xdr:row>22</xdr:row>
      <xdr:rowOff>188147</xdr:rowOff>
    </xdr:to>
    <xdr:pic>
      <xdr:nvPicPr>
        <xdr:cNvPr id="61" name="Graphic 60" descr="Female Profile">
          <a:extLst>
            <a:ext uri="{FF2B5EF4-FFF2-40B4-BE49-F238E27FC236}">
              <a16:creationId xmlns:a16="http://schemas.microsoft.com/office/drawing/2014/main" id="{B80E4C58-8483-D7D3-FF8D-F20550C1D6B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27585" y="3678295"/>
          <a:ext cx="649111" cy="649111"/>
        </a:xfrm>
        <a:prstGeom prst="rect">
          <a:avLst/>
        </a:prstGeom>
      </xdr:spPr>
    </xdr:pic>
    <xdr:clientData/>
  </xdr:twoCellAnchor>
  <xdr:twoCellAnchor>
    <xdr:from>
      <xdr:col>2</xdr:col>
      <xdr:colOff>593327</xdr:colOff>
      <xdr:row>19</xdr:row>
      <xdr:rowOff>131704</xdr:rowOff>
    </xdr:from>
    <xdr:to>
      <xdr:col>4</xdr:col>
      <xdr:colOff>27565</xdr:colOff>
      <xdr:row>20</xdr:row>
      <xdr:rowOff>169333</xdr:rowOff>
    </xdr:to>
    <xdr:sp macro="" textlink="Gender!B9">
      <xdr:nvSpPr>
        <xdr:cNvPr id="62" name="TextBox 1">
          <a:extLst>
            <a:ext uri="{FF2B5EF4-FFF2-40B4-BE49-F238E27FC236}">
              <a16:creationId xmlns:a16="http://schemas.microsoft.com/office/drawing/2014/main" id="{3CD506FC-A01B-64D0-CDA6-1246B2C76F8C}"/>
            </a:ext>
          </a:extLst>
        </xdr:cNvPr>
        <xdr:cNvSpPr txBox="1"/>
      </xdr:nvSpPr>
      <xdr:spPr>
        <a:xfrm>
          <a:off x="1910364" y="3706519"/>
          <a:ext cx="751275" cy="22577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652061E7-F377-4AF7-9873-5E34A85954A0}" type="TxLink">
            <a:rPr lang="en-US" sz="1600" b="0" i="0" u="none" strike="noStrike" kern="1200">
              <a:solidFill>
                <a:srgbClr val="000000"/>
              </a:solidFill>
              <a:latin typeface="Arial Black" panose="020B0A04020102020204" pitchFamily="34" charset="0"/>
              <a:ea typeface="Calibri"/>
              <a:cs typeface="Calibri"/>
            </a:rPr>
            <a:pPr/>
            <a:t>588</a:t>
          </a:fld>
          <a:endParaRPr lang="en-US" sz="1600" kern="1200">
            <a:latin typeface="Arial Black" panose="020B0A04020102020204" pitchFamily="34" charset="0"/>
          </a:endParaRPr>
        </a:p>
      </xdr:txBody>
    </xdr:sp>
    <xdr:clientData/>
  </xdr:twoCellAnchor>
  <xdr:twoCellAnchor>
    <xdr:from>
      <xdr:col>2</xdr:col>
      <xdr:colOff>398638</xdr:colOff>
      <xdr:row>11</xdr:row>
      <xdr:rowOff>95250</xdr:rowOff>
    </xdr:from>
    <xdr:to>
      <xdr:col>8</xdr:col>
      <xdr:colOff>56445</xdr:colOff>
      <xdr:row>13</xdr:row>
      <xdr:rowOff>123472</xdr:rowOff>
    </xdr:to>
    <xdr:sp macro="" textlink="">
      <xdr:nvSpPr>
        <xdr:cNvPr id="63" name="TextBox 62">
          <a:extLst>
            <a:ext uri="{FF2B5EF4-FFF2-40B4-BE49-F238E27FC236}">
              <a16:creationId xmlns:a16="http://schemas.microsoft.com/office/drawing/2014/main" id="{3878F260-BCA8-4D2A-9A08-105E9EACE523}"/>
            </a:ext>
          </a:extLst>
        </xdr:cNvPr>
        <xdr:cNvSpPr txBox="1"/>
      </xdr:nvSpPr>
      <xdr:spPr>
        <a:xfrm>
          <a:off x="1715675" y="2164880"/>
          <a:ext cx="3608918"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Arial Black" panose="020B0A04020102020204" pitchFamily="34" charset="0"/>
            </a:rPr>
            <a:t>Total Employee by Gender</a:t>
          </a:r>
        </a:p>
      </xdr:txBody>
    </xdr:sp>
    <xdr:clientData/>
  </xdr:twoCellAnchor>
  <xdr:twoCellAnchor editAs="oneCell">
    <xdr:from>
      <xdr:col>3</xdr:col>
      <xdr:colOff>602074</xdr:colOff>
      <xdr:row>13</xdr:row>
      <xdr:rowOff>150519</xdr:rowOff>
    </xdr:from>
    <xdr:to>
      <xdr:col>6</xdr:col>
      <xdr:colOff>564445</xdr:colOff>
      <xdr:row>17</xdr:row>
      <xdr:rowOff>103479</xdr:rowOff>
    </xdr:to>
    <mc:AlternateContent xmlns:mc="http://schemas.openxmlformats.org/markup-compatibility/2006" xmlns:a14="http://schemas.microsoft.com/office/drawing/2010/main">
      <mc:Choice Requires="a14">
        <xdr:graphicFrame macro="">
          <xdr:nvGraphicFramePr>
            <xdr:cNvPr id="64" name="Gender 3">
              <a:extLst>
                <a:ext uri="{FF2B5EF4-FFF2-40B4-BE49-F238E27FC236}">
                  <a16:creationId xmlns:a16="http://schemas.microsoft.com/office/drawing/2014/main" id="{2C844143-4D83-424F-8325-EDC3992132B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577630" y="2596445"/>
              <a:ext cx="1937926" cy="705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0</xdr:colOff>
      <xdr:row>24</xdr:row>
      <xdr:rowOff>0</xdr:rowOff>
    </xdr:from>
    <xdr:to>
      <xdr:col>29</xdr:col>
      <xdr:colOff>151251</xdr:colOff>
      <xdr:row>24</xdr:row>
      <xdr:rowOff>2428</xdr:rowOff>
    </xdr:to>
    <xdr:cxnSp macro="">
      <xdr:nvCxnSpPr>
        <xdr:cNvPr id="10" name="Shape 68">
          <a:extLst>
            <a:ext uri="{FF2B5EF4-FFF2-40B4-BE49-F238E27FC236}">
              <a16:creationId xmlns:a16="http://schemas.microsoft.com/office/drawing/2014/main" id="{024C5DFC-A692-4461-AA43-5E34682CE27F}"/>
            </a:ext>
          </a:extLst>
        </xdr:cNvPr>
        <xdr:cNvCxnSpPr/>
      </xdr:nvCxnSpPr>
      <xdr:spPr>
        <a:xfrm flipH="1">
          <a:off x="16462963" y="4515556"/>
          <a:ext cx="3377992" cy="242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366889</xdr:colOff>
      <xdr:row>13</xdr:row>
      <xdr:rowOff>65851</xdr:rowOff>
    </xdr:from>
    <xdr:to>
      <xdr:col>8</xdr:col>
      <xdr:colOff>75259</xdr:colOff>
      <xdr:row>13</xdr:row>
      <xdr:rowOff>84666</xdr:rowOff>
    </xdr:to>
    <xdr:cxnSp macro="">
      <xdr:nvCxnSpPr>
        <xdr:cNvPr id="27" name="Shape 68">
          <a:extLst>
            <a:ext uri="{FF2B5EF4-FFF2-40B4-BE49-F238E27FC236}">
              <a16:creationId xmlns:a16="http://schemas.microsoft.com/office/drawing/2014/main" id="{A9A6F290-5DE7-4360-8A44-98644CB35E7F}"/>
            </a:ext>
          </a:extLst>
        </xdr:cNvPr>
        <xdr:cNvCxnSpPr/>
      </xdr:nvCxnSpPr>
      <xdr:spPr>
        <a:xfrm flipH="1">
          <a:off x="1683926" y="2511777"/>
          <a:ext cx="3659481" cy="1881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9</xdr:col>
      <xdr:colOff>436267</xdr:colOff>
      <xdr:row>13</xdr:row>
      <xdr:rowOff>141111</xdr:rowOff>
    </xdr:from>
    <xdr:to>
      <xdr:col>16</xdr:col>
      <xdr:colOff>272815</xdr:colOff>
      <xdr:row>13</xdr:row>
      <xdr:rowOff>151695</xdr:rowOff>
    </xdr:to>
    <xdr:cxnSp macro="">
      <xdr:nvCxnSpPr>
        <xdr:cNvPr id="57" name="Shape 68">
          <a:extLst>
            <a:ext uri="{FF2B5EF4-FFF2-40B4-BE49-F238E27FC236}">
              <a16:creationId xmlns:a16="http://schemas.microsoft.com/office/drawing/2014/main" id="{AEFC68B9-DBEE-452A-85A4-F0BF92472E00}"/>
            </a:ext>
          </a:extLst>
        </xdr:cNvPr>
        <xdr:cNvCxnSpPr/>
      </xdr:nvCxnSpPr>
      <xdr:spPr>
        <a:xfrm flipH="1">
          <a:off x="6362934" y="2587037"/>
          <a:ext cx="4446177" cy="10584"/>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17</xdr:col>
      <xdr:colOff>206963</xdr:colOff>
      <xdr:row>13</xdr:row>
      <xdr:rowOff>131704</xdr:rowOff>
    </xdr:from>
    <xdr:to>
      <xdr:col>22</xdr:col>
      <xdr:colOff>188149</xdr:colOff>
      <xdr:row>13</xdr:row>
      <xdr:rowOff>141111</xdr:rowOff>
    </xdr:to>
    <xdr:cxnSp macro="">
      <xdr:nvCxnSpPr>
        <xdr:cNvPr id="60" name="Shape 68">
          <a:extLst>
            <a:ext uri="{FF2B5EF4-FFF2-40B4-BE49-F238E27FC236}">
              <a16:creationId xmlns:a16="http://schemas.microsoft.com/office/drawing/2014/main" id="{52ABCEC0-F345-4E67-AECA-E698656960C8}"/>
            </a:ext>
          </a:extLst>
        </xdr:cNvPr>
        <xdr:cNvCxnSpPr/>
      </xdr:nvCxnSpPr>
      <xdr:spPr>
        <a:xfrm flipH="1" flipV="1">
          <a:off x="11401778" y="2577630"/>
          <a:ext cx="3273778" cy="9407"/>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8</xdr:col>
      <xdr:colOff>639704</xdr:colOff>
      <xdr:row>14</xdr:row>
      <xdr:rowOff>48213</xdr:rowOff>
    </xdr:from>
    <xdr:to>
      <xdr:col>16</xdr:col>
      <xdr:colOff>630295</xdr:colOff>
      <xdr:row>25</xdr:row>
      <xdr:rowOff>150518</xdr:rowOff>
    </xdr:to>
    <xdr:graphicFrame macro="">
      <xdr:nvGraphicFramePr>
        <xdr:cNvPr id="67" name="Chart 66">
          <a:extLst>
            <a:ext uri="{FF2B5EF4-FFF2-40B4-BE49-F238E27FC236}">
              <a16:creationId xmlns:a16="http://schemas.microsoft.com/office/drawing/2014/main" id="{08441B40-B81F-445F-8CFC-06AED6EEF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455082</xdr:colOff>
      <xdr:row>11</xdr:row>
      <xdr:rowOff>161103</xdr:rowOff>
    </xdr:from>
    <xdr:to>
      <xdr:col>14</xdr:col>
      <xdr:colOff>649111</xdr:colOff>
      <xdr:row>14</xdr:row>
      <xdr:rowOff>1177</xdr:rowOff>
    </xdr:to>
    <xdr:sp macro="" textlink="">
      <xdr:nvSpPr>
        <xdr:cNvPr id="69" name="TextBox 68">
          <a:extLst>
            <a:ext uri="{FF2B5EF4-FFF2-40B4-BE49-F238E27FC236}">
              <a16:creationId xmlns:a16="http://schemas.microsoft.com/office/drawing/2014/main" id="{11592FB9-BA1F-4BE8-A5AE-C363E6994CBA}"/>
            </a:ext>
          </a:extLst>
        </xdr:cNvPr>
        <xdr:cNvSpPr txBox="1"/>
      </xdr:nvSpPr>
      <xdr:spPr>
        <a:xfrm>
          <a:off x="6381749" y="2230733"/>
          <a:ext cx="348662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Arial Black" panose="020B0A04020102020204" pitchFamily="34" charset="0"/>
            </a:rPr>
            <a:t>Education wise Attrition</a:t>
          </a:r>
        </a:p>
      </xdr:txBody>
    </xdr:sp>
    <xdr:clientData/>
  </xdr:twoCellAnchor>
  <xdr:twoCellAnchor>
    <xdr:from>
      <xdr:col>17</xdr:col>
      <xdr:colOff>37629</xdr:colOff>
      <xdr:row>14</xdr:row>
      <xdr:rowOff>9407</xdr:rowOff>
    </xdr:from>
    <xdr:to>
      <xdr:col>24</xdr:col>
      <xdr:colOff>94074</xdr:colOff>
      <xdr:row>25</xdr:row>
      <xdr:rowOff>141111</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B0425016-FCD3-447B-8518-8B4FBC90B5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178069" y="2676407"/>
              <a:ext cx="4643685" cy="22272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219897</xdr:colOff>
      <xdr:row>11</xdr:row>
      <xdr:rowOff>151695</xdr:rowOff>
    </xdr:from>
    <xdr:to>
      <xdr:col>22</xdr:col>
      <xdr:colOff>413926</xdr:colOff>
      <xdr:row>13</xdr:row>
      <xdr:rowOff>179917</xdr:rowOff>
    </xdr:to>
    <xdr:sp macro="" textlink="">
      <xdr:nvSpPr>
        <xdr:cNvPr id="72" name="TextBox 71">
          <a:extLst>
            <a:ext uri="{FF2B5EF4-FFF2-40B4-BE49-F238E27FC236}">
              <a16:creationId xmlns:a16="http://schemas.microsoft.com/office/drawing/2014/main" id="{4B32FFBC-BBBF-422D-924C-7583715C6292}"/>
            </a:ext>
          </a:extLst>
        </xdr:cNvPr>
        <xdr:cNvSpPr txBox="1"/>
      </xdr:nvSpPr>
      <xdr:spPr>
        <a:xfrm>
          <a:off x="11414712" y="2221325"/>
          <a:ext cx="348662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Arial Black" panose="020B0A04020102020204" pitchFamily="34" charset="0"/>
            </a:rPr>
            <a:t>Attrition By Job</a:t>
          </a:r>
          <a:r>
            <a:rPr lang="en-US" sz="1800" b="1" baseline="0">
              <a:solidFill>
                <a:schemeClr val="tx1"/>
              </a:solidFill>
              <a:latin typeface="Arial Black" panose="020B0A04020102020204" pitchFamily="34" charset="0"/>
            </a:rPr>
            <a:t> Role</a:t>
          </a:r>
          <a:endParaRPr lang="en-US" sz="1800" b="1">
            <a:solidFill>
              <a:schemeClr val="tx1"/>
            </a:solidFill>
            <a:latin typeface="Arial Black" panose="020B0A04020102020204" pitchFamily="34" charset="0"/>
          </a:endParaRPr>
        </a:p>
      </xdr:txBody>
    </xdr:sp>
    <xdr:clientData/>
  </xdr:twoCellAnchor>
  <xdr:twoCellAnchor>
    <xdr:from>
      <xdr:col>2</xdr:col>
      <xdr:colOff>131705</xdr:colOff>
      <xdr:row>28</xdr:row>
      <xdr:rowOff>85843</xdr:rowOff>
    </xdr:from>
    <xdr:to>
      <xdr:col>8</xdr:col>
      <xdr:colOff>432742</xdr:colOff>
      <xdr:row>39</xdr:row>
      <xdr:rowOff>103481</xdr:rowOff>
    </xdr:to>
    <xdr:graphicFrame macro="">
      <xdr:nvGraphicFramePr>
        <xdr:cNvPr id="74" name="Chart 73">
          <a:extLst>
            <a:ext uri="{FF2B5EF4-FFF2-40B4-BE49-F238E27FC236}">
              <a16:creationId xmlns:a16="http://schemas.microsoft.com/office/drawing/2014/main" id="{5D7F7A30-83FE-45C7-A82D-465627A51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282222</xdr:colOff>
      <xdr:row>28</xdr:row>
      <xdr:rowOff>75259</xdr:rowOff>
    </xdr:from>
    <xdr:to>
      <xdr:col>8</xdr:col>
      <xdr:colOff>94074</xdr:colOff>
      <xdr:row>28</xdr:row>
      <xdr:rowOff>84667</xdr:rowOff>
    </xdr:to>
    <xdr:cxnSp macro="">
      <xdr:nvCxnSpPr>
        <xdr:cNvPr id="75" name="Shape 68">
          <a:extLst>
            <a:ext uri="{FF2B5EF4-FFF2-40B4-BE49-F238E27FC236}">
              <a16:creationId xmlns:a16="http://schemas.microsoft.com/office/drawing/2014/main" id="{719FDE5D-747D-4828-929C-D108992AD847}"/>
            </a:ext>
          </a:extLst>
        </xdr:cNvPr>
        <xdr:cNvCxnSpPr/>
      </xdr:nvCxnSpPr>
      <xdr:spPr>
        <a:xfrm flipH="1">
          <a:off x="1599259" y="5343407"/>
          <a:ext cx="3762963" cy="940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398637</xdr:colOff>
      <xdr:row>26</xdr:row>
      <xdr:rowOff>57622</xdr:rowOff>
    </xdr:from>
    <xdr:to>
      <xdr:col>7</xdr:col>
      <xdr:colOff>592665</xdr:colOff>
      <xdr:row>28</xdr:row>
      <xdr:rowOff>85844</xdr:rowOff>
    </xdr:to>
    <xdr:sp macro="" textlink="">
      <xdr:nvSpPr>
        <xdr:cNvPr id="78" name="TextBox 77">
          <a:extLst>
            <a:ext uri="{FF2B5EF4-FFF2-40B4-BE49-F238E27FC236}">
              <a16:creationId xmlns:a16="http://schemas.microsoft.com/office/drawing/2014/main" id="{1DD6C7F1-F324-4E03-B2AB-A79B50D3CF72}"/>
            </a:ext>
          </a:extLst>
        </xdr:cNvPr>
        <xdr:cNvSpPr txBox="1"/>
      </xdr:nvSpPr>
      <xdr:spPr>
        <a:xfrm>
          <a:off x="1715674" y="4949474"/>
          <a:ext cx="348662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030A0"/>
              </a:solidFill>
              <a:latin typeface="Arial Black" panose="020B0A04020102020204" pitchFamily="34" charset="0"/>
            </a:rPr>
            <a:t>Department</a:t>
          </a:r>
          <a:r>
            <a:rPr lang="en-US" sz="1800" b="1" baseline="0">
              <a:solidFill>
                <a:srgbClr val="7030A0"/>
              </a:solidFill>
              <a:latin typeface="Arial Black" panose="020B0A04020102020204" pitchFamily="34" charset="0"/>
            </a:rPr>
            <a:t> </a:t>
          </a:r>
          <a:r>
            <a:rPr lang="en-US" sz="1800" b="1">
              <a:solidFill>
                <a:srgbClr val="7030A0"/>
              </a:solidFill>
              <a:latin typeface="Arial Black" panose="020B0A04020102020204" pitchFamily="34" charset="0"/>
            </a:rPr>
            <a:t>wise Attrition</a:t>
          </a:r>
        </a:p>
      </xdr:txBody>
    </xdr:sp>
    <xdr:clientData/>
  </xdr:twoCellAnchor>
  <xdr:twoCellAnchor>
    <xdr:from>
      <xdr:col>6</xdr:col>
      <xdr:colOff>596194</xdr:colOff>
      <xdr:row>7</xdr:row>
      <xdr:rowOff>150519</xdr:rowOff>
    </xdr:from>
    <xdr:to>
      <xdr:col>8</xdr:col>
      <xdr:colOff>442149</xdr:colOff>
      <xdr:row>7</xdr:row>
      <xdr:rowOff>161104</xdr:rowOff>
    </xdr:to>
    <xdr:cxnSp macro="">
      <xdr:nvCxnSpPr>
        <xdr:cNvPr id="79" name="Shape 68">
          <a:extLst>
            <a:ext uri="{FF2B5EF4-FFF2-40B4-BE49-F238E27FC236}">
              <a16:creationId xmlns:a16="http://schemas.microsoft.com/office/drawing/2014/main" id="{8EE7B54D-4A17-42C7-AD0B-5C6B1E33DA80}"/>
            </a:ext>
          </a:extLst>
        </xdr:cNvPr>
        <xdr:cNvCxnSpPr/>
      </xdr:nvCxnSpPr>
      <xdr:spPr>
        <a:xfrm flipH="1">
          <a:off x="4547305" y="1467556"/>
          <a:ext cx="1162992" cy="1058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11</xdr:col>
      <xdr:colOff>154045</xdr:colOff>
      <xdr:row>7</xdr:row>
      <xdr:rowOff>112889</xdr:rowOff>
    </xdr:from>
    <xdr:to>
      <xdr:col>14</xdr:col>
      <xdr:colOff>216371</xdr:colOff>
      <xdr:row>7</xdr:row>
      <xdr:rowOff>124651</xdr:rowOff>
    </xdr:to>
    <xdr:cxnSp macro="">
      <xdr:nvCxnSpPr>
        <xdr:cNvPr id="82" name="Shape 68">
          <a:extLst>
            <a:ext uri="{FF2B5EF4-FFF2-40B4-BE49-F238E27FC236}">
              <a16:creationId xmlns:a16="http://schemas.microsoft.com/office/drawing/2014/main" id="{5C5FE23C-84A2-42BF-8B8A-8C15C2E23688}"/>
            </a:ext>
          </a:extLst>
        </xdr:cNvPr>
        <xdr:cNvCxnSpPr/>
      </xdr:nvCxnSpPr>
      <xdr:spPr>
        <a:xfrm flipH="1">
          <a:off x="7397749" y="1429926"/>
          <a:ext cx="2037881" cy="11762"/>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15</xdr:col>
      <xdr:colOff>426860</xdr:colOff>
      <xdr:row>7</xdr:row>
      <xdr:rowOff>170510</xdr:rowOff>
    </xdr:from>
    <xdr:to>
      <xdr:col>18</xdr:col>
      <xdr:colOff>489186</xdr:colOff>
      <xdr:row>7</xdr:row>
      <xdr:rowOff>182272</xdr:rowOff>
    </xdr:to>
    <xdr:cxnSp macro="">
      <xdr:nvCxnSpPr>
        <xdr:cNvPr id="84" name="Shape 68">
          <a:extLst>
            <a:ext uri="{FF2B5EF4-FFF2-40B4-BE49-F238E27FC236}">
              <a16:creationId xmlns:a16="http://schemas.microsoft.com/office/drawing/2014/main" id="{1AA57BD1-EEB3-4F30-8E66-FE01B0F121FC}"/>
            </a:ext>
          </a:extLst>
        </xdr:cNvPr>
        <xdr:cNvCxnSpPr/>
      </xdr:nvCxnSpPr>
      <xdr:spPr>
        <a:xfrm flipH="1">
          <a:off x="10304638" y="1487547"/>
          <a:ext cx="2037881" cy="11762"/>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329259</xdr:colOff>
      <xdr:row>7</xdr:row>
      <xdr:rowOff>159929</xdr:rowOff>
    </xdr:from>
    <xdr:to>
      <xdr:col>5</xdr:col>
      <xdr:colOff>184621</xdr:colOff>
      <xdr:row>7</xdr:row>
      <xdr:rowOff>169334</xdr:rowOff>
    </xdr:to>
    <xdr:cxnSp macro="">
      <xdr:nvCxnSpPr>
        <xdr:cNvPr id="85" name="Shape 68">
          <a:extLst>
            <a:ext uri="{FF2B5EF4-FFF2-40B4-BE49-F238E27FC236}">
              <a16:creationId xmlns:a16="http://schemas.microsoft.com/office/drawing/2014/main" id="{179491C6-6391-4F27-BB7F-A98B66D48FEA}"/>
            </a:ext>
          </a:extLst>
        </xdr:cNvPr>
        <xdr:cNvCxnSpPr/>
      </xdr:nvCxnSpPr>
      <xdr:spPr>
        <a:xfrm flipH="1">
          <a:off x="1646296" y="1476966"/>
          <a:ext cx="1830918" cy="940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20</xdr:col>
      <xdr:colOff>154045</xdr:colOff>
      <xdr:row>7</xdr:row>
      <xdr:rowOff>169333</xdr:rowOff>
    </xdr:from>
    <xdr:to>
      <xdr:col>22</xdr:col>
      <xdr:colOff>451556</xdr:colOff>
      <xdr:row>7</xdr:row>
      <xdr:rowOff>172865</xdr:rowOff>
    </xdr:to>
    <xdr:cxnSp macro="">
      <xdr:nvCxnSpPr>
        <xdr:cNvPr id="86" name="Shape 68">
          <a:extLst>
            <a:ext uri="{FF2B5EF4-FFF2-40B4-BE49-F238E27FC236}">
              <a16:creationId xmlns:a16="http://schemas.microsoft.com/office/drawing/2014/main" id="{9E27196D-D512-42CE-8797-FB404BE830BF}"/>
            </a:ext>
          </a:extLst>
        </xdr:cNvPr>
        <xdr:cNvCxnSpPr/>
      </xdr:nvCxnSpPr>
      <xdr:spPr>
        <a:xfrm flipH="1">
          <a:off x="13324415" y="1486370"/>
          <a:ext cx="1614548" cy="3532"/>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8</xdr:col>
      <xdr:colOff>526816</xdr:colOff>
      <xdr:row>28</xdr:row>
      <xdr:rowOff>150518</xdr:rowOff>
    </xdr:from>
    <xdr:to>
      <xdr:col>14</xdr:col>
      <xdr:colOff>432741</xdr:colOff>
      <xdr:row>39</xdr:row>
      <xdr:rowOff>47035</xdr:rowOff>
    </xdr:to>
    <xdr:graphicFrame macro="">
      <xdr:nvGraphicFramePr>
        <xdr:cNvPr id="89" name="Chart 88">
          <a:extLst>
            <a:ext uri="{FF2B5EF4-FFF2-40B4-BE49-F238E27FC236}">
              <a16:creationId xmlns:a16="http://schemas.microsoft.com/office/drawing/2014/main" id="{892ECCC7-8024-41BF-9E0B-9400F560E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31749</xdr:colOff>
      <xdr:row>1</xdr:row>
      <xdr:rowOff>29399</xdr:rowOff>
    </xdr:from>
    <xdr:to>
      <xdr:col>8</xdr:col>
      <xdr:colOff>526815</xdr:colOff>
      <xdr:row>1</xdr:row>
      <xdr:rowOff>39983</xdr:rowOff>
    </xdr:to>
    <xdr:cxnSp macro="">
      <xdr:nvCxnSpPr>
        <xdr:cNvPr id="90" name="Shape 68">
          <a:extLst>
            <a:ext uri="{FF2B5EF4-FFF2-40B4-BE49-F238E27FC236}">
              <a16:creationId xmlns:a16="http://schemas.microsoft.com/office/drawing/2014/main" id="{C2DBFE12-3CE4-4E3E-B55C-0A2CD717E112}"/>
            </a:ext>
          </a:extLst>
        </xdr:cNvPr>
        <xdr:cNvCxnSpPr/>
      </xdr:nvCxnSpPr>
      <xdr:spPr>
        <a:xfrm flipH="1">
          <a:off x="1348786" y="217547"/>
          <a:ext cx="4446177" cy="10584"/>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9</xdr:col>
      <xdr:colOff>191675</xdr:colOff>
      <xdr:row>28</xdr:row>
      <xdr:rowOff>28222</xdr:rowOff>
    </xdr:from>
    <xdr:to>
      <xdr:col>12</xdr:col>
      <xdr:colOff>470371</xdr:colOff>
      <xdr:row>28</xdr:row>
      <xdr:rowOff>43553</xdr:rowOff>
    </xdr:to>
    <xdr:cxnSp macro="">
      <xdr:nvCxnSpPr>
        <xdr:cNvPr id="91" name="Shape 74">
          <a:extLst>
            <a:ext uri="{FF2B5EF4-FFF2-40B4-BE49-F238E27FC236}">
              <a16:creationId xmlns:a16="http://schemas.microsoft.com/office/drawing/2014/main" id="{F4B08665-CA01-4D2A-B654-50AFB2FAC73F}"/>
            </a:ext>
          </a:extLst>
        </xdr:cNvPr>
        <xdr:cNvCxnSpPr/>
      </xdr:nvCxnSpPr>
      <xdr:spPr>
        <a:xfrm flipV="1">
          <a:off x="6118342" y="5296370"/>
          <a:ext cx="2254251" cy="15331"/>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9</xdr:col>
      <xdr:colOff>97601</xdr:colOff>
      <xdr:row>26</xdr:row>
      <xdr:rowOff>29398</xdr:rowOff>
    </xdr:from>
    <xdr:to>
      <xdr:col>14</xdr:col>
      <xdr:colOff>291630</xdr:colOff>
      <xdr:row>28</xdr:row>
      <xdr:rowOff>57620</xdr:rowOff>
    </xdr:to>
    <xdr:sp macro="" textlink="">
      <xdr:nvSpPr>
        <xdr:cNvPr id="93" name="TextBox 92">
          <a:extLst>
            <a:ext uri="{FF2B5EF4-FFF2-40B4-BE49-F238E27FC236}">
              <a16:creationId xmlns:a16="http://schemas.microsoft.com/office/drawing/2014/main" id="{325701CA-2F9E-4C68-985E-CBE4159DD67F}"/>
            </a:ext>
          </a:extLst>
        </xdr:cNvPr>
        <xdr:cNvSpPr txBox="1"/>
      </xdr:nvSpPr>
      <xdr:spPr>
        <a:xfrm>
          <a:off x="6024268" y="4921250"/>
          <a:ext cx="3486621"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030A0"/>
              </a:solidFill>
              <a:latin typeface="Arial Black" panose="020B0A04020102020204" pitchFamily="34" charset="0"/>
            </a:rPr>
            <a:t>Attrition By Age</a:t>
          </a:r>
        </a:p>
      </xdr:txBody>
    </xdr:sp>
    <xdr:clientData/>
  </xdr:twoCellAnchor>
  <xdr:twoCellAnchor>
    <xdr:from>
      <xdr:col>14</xdr:col>
      <xdr:colOff>602076</xdr:colOff>
      <xdr:row>28</xdr:row>
      <xdr:rowOff>150518</xdr:rowOff>
    </xdr:from>
    <xdr:to>
      <xdr:col>19</xdr:col>
      <xdr:colOff>291631</xdr:colOff>
      <xdr:row>39</xdr:row>
      <xdr:rowOff>178740</xdr:rowOff>
    </xdr:to>
    <mc:AlternateContent xmlns:mc="http://schemas.openxmlformats.org/markup-compatibility/2006">
      <mc:Choice xmlns:cx2="http://schemas.microsoft.com/office/drawing/2015/10/21/chartex" Requires="cx2">
        <xdr:graphicFrame macro="">
          <xdr:nvGraphicFramePr>
            <xdr:cNvPr id="95" name="Chart 94">
              <a:extLst>
                <a:ext uri="{FF2B5EF4-FFF2-40B4-BE49-F238E27FC236}">
                  <a16:creationId xmlns:a16="http://schemas.microsoft.com/office/drawing/2014/main" id="{5CFE00FF-B958-4107-93C6-D619821FEE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776556" y="5484518"/>
              <a:ext cx="2966155" cy="21237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9407</xdr:colOff>
      <xdr:row>28</xdr:row>
      <xdr:rowOff>75259</xdr:rowOff>
    </xdr:from>
    <xdr:to>
      <xdr:col>19</xdr:col>
      <xdr:colOff>329259</xdr:colOff>
      <xdr:row>28</xdr:row>
      <xdr:rowOff>84667</xdr:rowOff>
    </xdr:to>
    <xdr:cxnSp macro="">
      <xdr:nvCxnSpPr>
        <xdr:cNvPr id="96" name="Shape 68">
          <a:extLst>
            <a:ext uri="{FF2B5EF4-FFF2-40B4-BE49-F238E27FC236}">
              <a16:creationId xmlns:a16="http://schemas.microsoft.com/office/drawing/2014/main" id="{841A7623-4BF8-47DD-90B4-6A80E2B2AFE3}"/>
            </a:ext>
          </a:extLst>
        </xdr:cNvPr>
        <xdr:cNvCxnSpPr/>
      </xdr:nvCxnSpPr>
      <xdr:spPr>
        <a:xfrm flipH="1" flipV="1">
          <a:off x="9887185" y="5343407"/>
          <a:ext cx="2953926" cy="940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31749</xdr:colOff>
      <xdr:row>1</xdr:row>
      <xdr:rowOff>29399</xdr:rowOff>
    </xdr:from>
    <xdr:to>
      <xdr:col>3</xdr:col>
      <xdr:colOff>536222</xdr:colOff>
      <xdr:row>1</xdr:row>
      <xdr:rowOff>39984</xdr:rowOff>
    </xdr:to>
    <xdr:cxnSp macro="">
      <xdr:nvCxnSpPr>
        <xdr:cNvPr id="98" name="Shape 68">
          <a:extLst>
            <a:ext uri="{FF2B5EF4-FFF2-40B4-BE49-F238E27FC236}">
              <a16:creationId xmlns:a16="http://schemas.microsoft.com/office/drawing/2014/main" id="{498749B1-7E50-4618-9F3B-1B8E9CD711B1}"/>
            </a:ext>
          </a:extLst>
        </xdr:cNvPr>
        <xdr:cNvCxnSpPr/>
      </xdr:nvCxnSpPr>
      <xdr:spPr>
        <a:xfrm flipH="1">
          <a:off x="1348786" y="217547"/>
          <a:ext cx="1162992" cy="1058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14</xdr:col>
      <xdr:colOff>577381</xdr:colOff>
      <xdr:row>26</xdr:row>
      <xdr:rowOff>112887</xdr:rowOff>
    </xdr:from>
    <xdr:to>
      <xdr:col>19</xdr:col>
      <xdr:colOff>545630</xdr:colOff>
      <xdr:row>28</xdr:row>
      <xdr:rowOff>141109</xdr:rowOff>
    </xdr:to>
    <xdr:sp macro="" textlink="">
      <xdr:nvSpPr>
        <xdr:cNvPr id="99" name="TextBox 98">
          <a:extLst>
            <a:ext uri="{FF2B5EF4-FFF2-40B4-BE49-F238E27FC236}">
              <a16:creationId xmlns:a16="http://schemas.microsoft.com/office/drawing/2014/main" id="{93FCDBD9-9453-47E3-9125-EBF1048360E7}"/>
            </a:ext>
          </a:extLst>
        </xdr:cNvPr>
        <xdr:cNvSpPr txBox="1"/>
      </xdr:nvSpPr>
      <xdr:spPr>
        <a:xfrm>
          <a:off x="9796640" y="5004739"/>
          <a:ext cx="3260842" cy="40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7030A0"/>
              </a:solidFill>
              <a:latin typeface="Arial Black" panose="020B0A04020102020204" pitchFamily="34" charset="0"/>
            </a:rPr>
            <a:t>Attrition by</a:t>
          </a:r>
          <a:r>
            <a:rPr lang="en-US" sz="1600" b="1" baseline="0">
              <a:solidFill>
                <a:srgbClr val="7030A0"/>
              </a:solidFill>
              <a:latin typeface="Arial Black" panose="020B0A04020102020204" pitchFamily="34" charset="0"/>
            </a:rPr>
            <a:t> Marital Status</a:t>
          </a:r>
          <a:r>
            <a:rPr lang="en-US" sz="1600" b="1">
              <a:solidFill>
                <a:srgbClr val="7030A0"/>
              </a:solidFill>
              <a:latin typeface="Arial Black" panose="020B0A04020102020204" pitchFamily="34" charset="0"/>
            </a:rPr>
            <a:t> </a:t>
          </a:r>
        </a:p>
      </xdr:txBody>
    </xdr:sp>
    <xdr:clientData/>
  </xdr:twoCellAnchor>
  <xdr:twoCellAnchor editAs="oneCell">
    <xdr:from>
      <xdr:col>19</xdr:col>
      <xdr:colOff>573851</xdr:colOff>
      <xdr:row>29</xdr:row>
      <xdr:rowOff>142288</xdr:rowOff>
    </xdr:from>
    <xdr:to>
      <xdr:col>22</xdr:col>
      <xdr:colOff>122296</xdr:colOff>
      <xdr:row>40</xdr:row>
      <xdr:rowOff>9407</xdr:rowOff>
    </xdr:to>
    <mc:AlternateContent xmlns:mc="http://schemas.openxmlformats.org/markup-compatibility/2006" xmlns:a14="http://schemas.microsoft.com/office/drawing/2010/main">
      <mc:Choice Requires="a14">
        <xdr:graphicFrame macro="">
          <xdr:nvGraphicFramePr>
            <xdr:cNvPr id="102" name="Education Field 1">
              <a:extLst>
                <a:ext uri="{FF2B5EF4-FFF2-40B4-BE49-F238E27FC236}">
                  <a16:creationId xmlns:a16="http://schemas.microsoft.com/office/drawing/2014/main" id="{EAF409FF-8B0F-4AF5-AC43-52BAA2B7449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085703" y="5598584"/>
              <a:ext cx="1524000" cy="193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97601</xdr:colOff>
      <xdr:row>30</xdr:row>
      <xdr:rowOff>4</xdr:rowOff>
    </xdr:from>
    <xdr:to>
      <xdr:col>23</xdr:col>
      <xdr:colOff>526815</xdr:colOff>
      <xdr:row>39</xdr:row>
      <xdr:rowOff>112892</xdr:rowOff>
    </xdr:to>
    <mc:AlternateContent xmlns:mc="http://schemas.openxmlformats.org/markup-compatibility/2006" xmlns:a14="http://schemas.microsoft.com/office/drawing/2010/main">
      <mc:Choice Requires="a14">
        <xdr:graphicFrame macro="">
          <xdr:nvGraphicFramePr>
            <xdr:cNvPr id="104" name="Department 1">
              <a:extLst>
                <a:ext uri="{FF2B5EF4-FFF2-40B4-BE49-F238E27FC236}">
                  <a16:creationId xmlns:a16="http://schemas.microsoft.com/office/drawing/2014/main" id="{1C13187E-EDDC-4FD5-95DF-24D6CF9B647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585008" y="5644448"/>
              <a:ext cx="1087733" cy="1806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622770</xdr:colOff>
      <xdr:row>27</xdr:row>
      <xdr:rowOff>178740</xdr:rowOff>
    </xdr:from>
    <xdr:to>
      <xdr:col>24</xdr:col>
      <xdr:colOff>131703</xdr:colOff>
      <xdr:row>28</xdr:row>
      <xdr:rowOff>11288</xdr:rowOff>
    </xdr:to>
    <xdr:cxnSp macro="">
      <xdr:nvCxnSpPr>
        <xdr:cNvPr id="105" name="Shape 68">
          <a:extLst>
            <a:ext uri="{FF2B5EF4-FFF2-40B4-BE49-F238E27FC236}">
              <a16:creationId xmlns:a16="http://schemas.microsoft.com/office/drawing/2014/main" id="{4C3FC2A1-ED45-425D-91BD-05C05BEEA182}"/>
            </a:ext>
          </a:extLst>
        </xdr:cNvPr>
        <xdr:cNvCxnSpPr/>
      </xdr:nvCxnSpPr>
      <xdr:spPr>
        <a:xfrm flipH="1">
          <a:off x="13134622" y="5258740"/>
          <a:ext cx="2801525" cy="20696"/>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19</xdr:col>
      <xdr:colOff>649111</xdr:colOff>
      <xdr:row>28</xdr:row>
      <xdr:rowOff>75260</xdr:rowOff>
    </xdr:from>
    <xdr:to>
      <xdr:col>21</xdr:col>
      <xdr:colOff>649111</xdr:colOff>
      <xdr:row>29</xdr:row>
      <xdr:rowOff>131704</xdr:rowOff>
    </xdr:to>
    <xdr:sp macro="" textlink="">
      <xdr:nvSpPr>
        <xdr:cNvPr id="107" name="TextBox 106">
          <a:extLst>
            <a:ext uri="{FF2B5EF4-FFF2-40B4-BE49-F238E27FC236}">
              <a16:creationId xmlns:a16="http://schemas.microsoft.com/office/drawing/2014/main" id="{D8101FFF-A45D-EC30-9AB3-F2D772FE4C65}"/>
            </a:ext>
          </a:extLst>
        </xdr:cNvPr>
        <xdr:cNvSpPr txBox="1"/>
      </xdr:nvSpPr>
      <xdr:spPr>
        <a:xfrm>
          <a:off x="13160963" y="5343408"/>
          <a:ext cx="1317037" cy="2445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75000"/>
                </a:schemeClr>
              </a:solidFill>
              <a:latin typeface="+mn-lt"/>
            </a:rPr>
            <a:t>Education Field</a:t>
          </a:r>
        </a:p>
      </xdr:txBody>
    </xdr:sp>
    <xdr:clientData/>
  </xdr:twoCellAnchor>
  <xdr:twoCellAnchor>
    <xdr:from>
      <xdr:col>22</xdr:col>
      <xdr:colOff>50564</xdr:colOff>
      <xdr:row>28</xdr:row>
      <xdr:rowOff>76436</xdr:rowOff>
    </xdr:from>
    <xdr:to>
      <xdr:col>24</xdr:col>
      <xdr:colOff>50564</xdr:colOff>
      <xdr:row>29</xdr:row>
      <xdr:rowOff>132880</xdr:rowOff>
    </xdr:to>
    <xdr:sp macro="" textlink="">
      <xdr:nvSpPr>
        <xdr:cNvPr id="108" name="TextBox 107">
          <a:extLst>
            <a:ext uri="{FF2B5EF4-FFF2-40B4-BE49-F238E27FC236}">
              <a16:creationId xmlns:a16="http://schemas.microsoft.com/office/drawing/2014/main" id="{CCF7719B-EFB6-4F71-BD7C-B0D1D00655BA}"/>
            </a:ext>
          </a:extLst>
        </xdr:cNvPr>
        <xdr:cNvSpPr txBox="1"/>
      </xdr:nvSpPr>
      <xdr:spPr>
        <a:xfrm>
          <a:off x="14537971" y="5344584"/>
          <a:ext cx="1317037" cy="2445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75000"/>
                </a:schemeClr>
              </a:solidFill>
              <a:latin typeface="+mn-lt"/>
            </a:rPr>
            <a:t>Department</a:t>
          </a:r>
        </a:p>
      </xdr:txBody>
    </xdr:sp>
    <xdr:clientData/>
  </xdr:twoCellAnchor>
  <xdr:twoCellAnchor>
    <xdr:from>
      <xdr:col>4</xdr:col>
      <xdr:colOff>43038</xdr:colOff>
      <xdr:row>4</xdr:row>
      <xdr:rowOff>75259</xdr:rowOff>
    </xdr:from>
    <xdr:to>
      <xdr:col>14</xdr:col>
      <xdr:colOff>47037</xdr:colOff>
      <xdr:row>4</xdr:row>
      <xdr:rowOff>97132</xdr:rowOff>
    </xdr:to>
    <xdr:cxnSp macro="">
      <xdr:nvCxnSpPr>
        <xdr:cNvPr id="28" name="Shape 68">
          <a:extLst>
            <a:ext uri="{FF2B5EF4-FFF2-40B4-BE49-F238E27FC236}">
              <a16:creationId xmlns:a16="http://schemas.microsoft.com/office/drawing/2014/main" id="{E92C799C-46BF-4893-A3CF-3C9E04F7FEAB}"/>
            </a:ext>
          </a:extLst>
        </xdr:cNvPr>
        <xdr:cNvCxnSpPr/>
      </xdr:nvCxnSpPr>
      <xdr:spPr>
        <a:xfrm flipH="1">
          <a:off x="2677112" y="827852"/>
          <a:ext cx="6589184" cy="21873"/>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wsDr>
</file>

<file path=xl/drawings/drawing10.xml><?xml version="1.0" encoding="utf-8"?>
<c:userShapes xmlns:c="http://schemas.openxmlformats.org/drawingml/2006/chart">
  <cdr:relSizeAnchor xmlns:cdr="http://schemas.openxmlformats.org/drawingml/2006/chartDrawing">
    <cdr:from>
      <cdr:x>0.70957</cdr:x>
      <cdr:y>0.07448</cdr:y>
    </cdr:from>
    <cdr:to>
      <cdr:x>1</cdr:x>
      <cdr:y>0.64501</cdr:y>
    </cdr:to>
    <cdr:sp macro="" textlink="">
      <cdr:nvSpPr>
        <cdr:cNvPr id="2" name="TextBox 1">
          <a:extLst xmlns:a="http://schemas.openxmlformats.org/drawingml/2006/main">
            <a:ext uri="{FF2B5EF4-FFF2-40B4-BE49-F238E27FC236}">
              <a16:creationId xmlns:a16="http://schemas.microsoft.com/office/drawing/2014/main" id="{7EDD057D-9D94-CE70-0720-D7B6C75ACB58}"/>
            </a:ext>
          </a:extLst>
        </cdr:cNvPr>
        <cdr:cNvSpPr txBox="1"/>
      </cdr:nvSpPr>
      <cdr:spPr>
        <a:xfrm xmlns:a="http://schemas.openxmlformats.org/drawingml/2006/main">
          <a:off x="758472" y="55267"/>
          <a:ext cx="310445" cy="4233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0.32233</cdr:x>
      <cdr:y>0.40412</cdr:y>
    </cdr:from>
    <cdr:to>
      <cdr:x>0.83278</cdr:x>
      <cdr:y>0.7084</cdr:y>
    </cdr:to>
    <cdr:sp macro="" textlink="Rating!$B$7">
      <cdr:nvSpPr>
        <cdr:cNvPr id="3" name="TextBox 2">
          <a:extLst xmlns:a="http://schemas.openxmlformats.org/drawingml/2006/main">
            <a:ext uri="{FF2B5EF4-FFF2-40B4-BE49-F238E27FC236}">
              <a16:creationId xmlns:a16="http://schemas.microsoft.com/office/drawing/2014/main" id="{5476E5AA-632C-6564-CA5D-CD413C6E4762}"/>
            </a:ext>
          </a:extLst>
        </cdr:cNvPr>
        <cdr:cNvSpPr txBox="1"/>
      </cdr:nvSpPr>
      <cdr:spPr>
        <a:xfrm xmlns:a="http://schemas.openxmlformats.org/drawingml/2006/main">
          <a:off x="344545" y="299859"/>
          <a:ext cx="545629" cy="2257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E6F61A3-5920-4BA1-BCE7-A645A585FF89}" type="TxLink">
            <a:rPr lang="en-US" sz="1200" b="0" i="0" u="none" strike="noStrike" kern="1200">
              <a:solidFill>
                <a:srgbClr val="000000"/>
              </a:solidFill>
              <a:latin typeface="Calibri"/>
              <a:ea typeface="Calibri"/>
              <a:cs typeface="Calibri"/>
            </a:rPr>
            <a:pPr/>
            <a:t>2.6</a:t>
          </a:fld>
          <a:endParaRPr lang="en-US" sz="11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0.39673</cdr:x>
      <cdr:y>0.36387</cdr:y>
    </cdr:from>
    <cdr:to>
      <cdr:x>0.61242</cdr:x>
      <cdr:y>0.51871</cdr:y>
    </cdr:to>
    <cdr:sp macro="" textlink="Gender!$B$10">
      <cdr:nvSpPr>
        <cdr:cNvPr id="2" name="TextBox 1">
          <a:extLst xmlns:a="http://schemas.openxmlformats.org/drawingml/2006/main">
            <a:ext uri="{FF2B5EF4-FFF2-40B4-BE49-F238E27FC236}">
              <a16:creationId xmlns:a16="http://schemas.microsoft.com/office/drawing/2014/main" id="{3CD506FC-A01B-64D0-CDA6-1246B2C76F8C}"/>
            </a:ext>
          </a:extLst>
        </cdr:cNvPr>
        <cdr:cNvSpPr txBox="1"/>
      </cdr:nvSpPr>
      <cdr:spPr>
        <a:xfrm xmlns:a="http://schemas.openxmlformats.org/drawingml/2006/main">
          <a:off x="1142058" y="530577"/>
          <a:ext cx="620888" cy="22577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96EB58F6-3738-49D6-8328-6898F27A23F0}" type="TxLink">
            <a:rPr lang="en-US" sz="1600" b="0" i="0" u="none" strike="noStrike" kern="1200">
              <a:solidFill>
                <a:srgbClr val="000000"/>
              </a:solidFill>
              <a:latin typeface="Arial Black" panose="020B0A04020102020204" pitchFamily="34" charset="0"/>
              <a:ea typeface="Calibri"/>
              <a:cs typeface="Calibri"/>
            </a:rPr>
            <a:pPr/>
            <a:t>882</a:t>
          </a:fld>
          <a:endParaRPr lang="en-US" sz="1600" kern="1200">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45.97242766204" createdVersion="8" refreshedVersion="8" minRefreshableVersion="3" recordCount="1470" xr:uid="{E1BBB4F4-33E7-40F8-B202-1F3CE03880B3}">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06950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6FB16-2AC0-43C1-9572-E39E01EEF8E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3F0BD-5FC5-45CA-93F1-3C829DA6370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B3D405-1D00-45C3-BE78-927F040FB393}"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B1BEE-E252-45FF-BE82-CD4D44BFDB74}"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CF_attrition counts" fld="18" subtotal="count" baseField="2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BFEF8C-BAB9-4BF7-817F-37B477FEE6BD}" name="Attrition By Job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s" fld="18" subtotal="count"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6925D6-0727-4FE6-BC8F-BF810D57F9A9}" name="Department Wise Attri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EDBF64-3953-45F6-90A3-9428693ED5BC}"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524F6A-8E6B-4A61-B6CD-FA93878A7175}"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FD1EA86-F2E9-4665-BFC6-8846A0D1307B}" sourceName="Education Field">
  <pivotTables>
    <pivotTable tabId="10" name="Gender"/>
    <pivotTable tabId="14" name="Attrition By Age"/>
    <pivotTable tabId="12" name="Attrition By Jobs"/>
    <pivotTable tabId="13" name="Department Wise Attritions"/>
    <pivotTable tabId="11" name="Education by Attrition"/>
    <pivotTable tabId="8" name="KPI"/>
    <pivotTable tabId="15" name="Marital Status"/>
    <pivotTable tabId="9" name="Rating"/>
  </pivotTables>
  <data>
    <tabular pivotCacheId="1706950887">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0EEF8B2-76E2-4A65-82A0-65DEAC734E2D}" sourceName="Gender">
  <pivotTables>
    <pivotTable tabId="10" name="Gender"/>
    <pivotTable tabId="14" name="Attrition By Age"/>
    <pivotTable tabId="12" name="Attrition By Jobs"/>
    <pivotTable tabId="13" name="Department Wise Attritions"/>
    <pivotTable tabId="11" name="Education by Attrition"/>
    <pivotTable tabId="8" name="KPI"/>
    <pivotTable tabId="15" name="Marital Status"/>
    <pivotTable tabId="9" name="Rating"/>
  </pivotTables>
  <data>
    <tabular pivotCacheId="170695088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742C225-F69D-42D1-887D-B11F16BBDA83}" sourceName="Department">
  <pivotTables>
    <pivotTable tabId="13" name="Department Wise Attritions"/>
  </pivotTables>
  <data>
    <tabular pivotCacheId="170695088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23ED5D-EB06-4FEA-8171-3EE8226CE2D6}"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2D7D7B3-7861-4038-BE9E-36007623CFEF}" cache="Slicer_Gender2"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50E2CFF-02F9-44AA-A6EC-849DFBCF8428}" cache="Slicer_Education_Field" caption="Education Field" rowHeight="260350"/>
  <slicer name="Gender 2" xr10:uid="{14EA0051-D6C4-4237-AEF1-C15CDB2B74D9}"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93E7C61-09FC-4C31-B444-6E193ED5C7F3}" cache="Slicer_Department" caption="Department"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ADEC8A5-1F9D-4129-A7E4-776DFEAC463F}" cache="Slicer_Education_Field" caption="Education Field" showCaption="0" style="Slicer" rowHeight="260350"/>
  <slicer name="Gender 3" xr10:uid="{BFD70126-64B5-4C94-88CC-7768CE5BE884}" cache="Slicer_Gender2" caption="Gender" columnCount="2" style="Slicer" rowHeight="260350"/>
  <slicer name="Department 1" xr10:uid="{8348F62F-0E62-47F7-AD1E-798217700C43}" cache="Slicer_Department" caption="Department" showCaption="0"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BD63-87C0-4977-9956-3360107267D8}">
  <dimension ref="A3:E8"/>
  <sheetViews>
    <sheetView workbookViewId="0">
      <selection activeCell="Z26" sqref="Z26"/>
    </sheetView>
  </sheetViews>
  <sheetFormatPr defaultRowHeight="15.6" x14ac:dyDescent="0.3"/>
  <cols>
    <col min="1" max="1" width="24.5" bestFit="1" customWidth="1"/>
    <col min="2" max="2" width="22.796875" bestFit="1" customWidth="1"/>
    <col min="3" max="3" width="13.5" bestFit="1" customWidth="1"/>
    <col min="4" max="4" width="14.8984375" customWidth="1"/>
    <col min="5" max="5" width="15" customWidth="1"/>
  </cols>
  <sheetData>
    <row r="3" spans="1:5" x14ac:dyDescent="0.3">
      <c r="A3" s="2" t="s">
        <v>1554</v>
      </c>
      <c r="B3" s="5" t="s">
        <v>1555</v>
      </c>
      <c r="C3" s="4" t="s">
        <v>1556</v>
      </c>
    </row>
    <row r="4" spans="1:5" x14ac:dyDescent="0.3">
      <c r="A4" s="21">
        <v>1470</v>
      </c>
      <c r="B4" s="22">
        <v>237</v>
      </c>
      <c r="C4" s="23">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7">
        <f>GETPIVOTDATA("Average of Age",$A$3)</f>
        <v>36.923809523809524</v>
      </c>
      <c r="D8">
        <f>A8-B8</f>
        <v>1233</v>
      </c>
      <c r="E8" s="8">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691B-50A4-4627-ACFA-34BB7E4FA8F5}">
  <dimension ref="A3:C8"/>
  <sheetViews>
    <sheetView workbookViewId="0">
      <selection activeCell="F11" sqref="F11"/>
    </sheetView>
  </sheetViews>
  <sheetFormatPr defaultRowHeight="15.6" x14ac:dyDescent="0.3"/>
  <cols>
    <col min="1" max="1" width="23.59765625" bestFit="1" customWidth="1"/>
  </cols>
  <sheetData>
    <row r="3" spans="1:3" x14ac:dyDescent="0.3">
      <c r="A3" s="3" t="s">
        <v>1562</v>
      </c>
    </row>
    <row r="4" spans="1:3" x14ac:dyDescent="0.3">
      <c r="A4" s="9">
        <v>2.6265306122448981</v>
      </c>
    </row>
    <row r="7" spans="1:3" x14ac:dyDescent="0.3">
      <c r="A7" t="s">
        <v>1563</v>
      </c>
      <c r="B7" s="6">
        <f>GETPIVOTDATA("Job Satisfaction",$A$3)</f>
        <v>2.6265306122448981</v>
      </c>
      <c r="C7">
        <f>B7/4</f>
        <v>0.65663265306122454</v>
      </c>
    </row>
    <row r="8" spans="1:3" x14ac:dyDescent="0.3">
      <c r="A8" t="s">
        <v>1564</v>
      </c>
      <c r="B8" s="6">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55C9-411A-43AA-A163-97C0D8337499}">
  <dimension ref="A3:C10"/>
  <sheetViews>
    <sheetView workbookViewId="0">
      <selection activeCell="Z34" sqref="Z33:Z34"/>
    </sheetView>
  </sheetViews>
  <sheetFormatPr defaultRowHeight="15.6" x14ac:dyDescent="0.3"/>
  <cols>
    <col min="1" max="1" width="12.19921875" bestFit="1" customWidth="1"/>
    <col min="2" max="2" width="22.796875" bestFit="1" customWidth="1"/>
  </cols>
  <sheetData>
    <row r="3" spans="1:3" x14ac:dyDescent="0.3">
      <c r="A3" s="10" t="s">
        <v>1565</v>
      </c>
      <c r="B3" s="3" t="s">
        <v>1567</v>
      </c>
    </row>
    <row r="4" spans="1:3" x14ac:dyDescent="0.3">
      <c r="A4" s="11" t="s">
        <v>51</v>
      </c>
      <c r="B4" s="3">
        <v>588</v>
      </c>
    </row>
    <row r="5" spans="1:3" x14ac:dyDescent="0.3">
      <c r="A5" s="12" t="s">
        <v>62</v>
      </c>
      <c r="B5" s="16">
        <v>882</v>
      </c>
    </row>
    <row r="6" spans="1:3" x14ac:dyDescent="0.3">
      <c r="A6" s="13" t="s">
        <v>1566</v>
      </c>
      <c r="B6" s="17">
        <v>1470</v>
      </c>
    </row>
    <row r="9" spans="1:3" x14ac:dyDescent="0.3">
      <c r="A9" s="14" t="s">
        <v>1568</v>
      </c>
      <c r="B9">
        <f>IFERROR(GETPIVOTDATA("Employee Count",$A$3,"Gender","Female"),0)</f>
        <v>588</v>
      </c>
      <c r="C9" s="15">
        <f>IFERROR(B9/($B$9+$B$10),0)</f>
        <v>0.4</v>
      </c>
    </row>
    <row r="10" spans="1:3" x14ac:dyDescent="0.3">
      <c r="A10" s="14" t="s">
        <v>62</v>
      </c>
      <c r="B10">
        <f>IFERROR(GETPIVOTDATA("Employee Count",$A$3,"Gender","Male"),0)</f>
        <v>882</v>
      </c>
      <c r="C10" s="1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2AFCE-2123-4970-99E0-98BBFF181D32}">
  <dimension ref="A3:B9"/>
  <sheetViews>
    <sheetView workbookViewId="0">
      <selection activeCell="L23" sqref="L23"/>
    </sheetView>
  </sheetViews>
  <sheetFormatPr defaultRowHeight="15.6" x14ac:dyDescent="0.3"/>
  <cols>
    <col min="1" max="1" width="16" bestFit="1" customWidth="1"/>
    <col min="2" max="2" width="25.09765625" bestFit="1" customWidth="1"/>
  </cols>
  <sheetData>
    <row r="3" spans="1:2" x14ac:dyDescent="0.3">
      <c r="A3" s="10" t="s">
        <v>1565</v>
      </c>
      <c r="B3" s="3" t="s">
        <v>1569</v>
      </c>
    </row>
    <row r="4" spans="1:2" x14ac:dyDescent="0.3">
      <c r="A4" s="11" t="s">
        <v>134</v>
      </c>
      <c r="B4" s="3">
        <v>5</v>
      </c>
    </row>
    <row r="5" spans="1:2" x14ac:dyDescent="0.3">
      <c r="A5" s="12" t="s">
        <v>65</v>
      </c>
      <c r="B5" s="16">
        <v>31</v>
      </c>
    </row>
    <row r="6" spans="1:2" x14ac:dyDescent="0.3">
      <c r="A6" s="12" t="s">
        <v>55</v>
      </c>
      <c r="B6" s="16">
        <v>44</v>
      </c>
    </row>
    <row r="7" spans="1:2" x14ac:dyDescent="0.3">
      <c r="A7" s="12" t="s">
        <v>71</v>
      </c>
      <c r="B7" s="16">
        <v>58</v>
      </c>
    </row>
    <row r="8" spans="1:2" x14ac:dyDescent="0.3">
      <c r="A8" s="12" t="s">
        <v>77</v>
      </c>
      <c r="B8" s="16">
        <v>99</v>
      </c>
    </row>
    <row r="9" spans="1:2" x14ac:dyDescent="0.3">
      <c r="A9" s="13" t="s">
        <v>1566</v>
      </c>
      <c r="B9" s="17">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CDD9C-850A-487D-B1ED-6D824220E1EF}">
  <dimension ref="A3:F13"/>
  <sheetViews>
    <sheetView workbookViewId="0">
      <selection activeCell="Z14" sqref="Z14"/>
    </sheetView>
  </sheetViews>
  <sheetFormatPr defaultRowHeight="15.6" x14ac:dyDescent="0.3"/>
  <cols>
    <col min="1" max="1" width="23.296875" bestFit="1" customWidth="1"/>
    <col min="2" max="2" width="25.09765625" bestFit="1" customWidth="1"/>
    <col min="5" max="5" width="22.796875" customWidth="1"/>
    <col min="6" max="6" width="25.296875" customWidth="1"/>
  </cols>
  <sheetData>
    <row r="3" spans="1:6" x14ac:dyDescent="0.3">
      <c r="A3" s="10" t="s">
        <v>1565</v>
      </c>
      <c r="B3" s="3" t="s">
        <v>1569</v>
      </c>
      <c r="E3" t="s">
        <v>1565</v>
      </c>
      <c r="F3" t="s">
        <v>1569</v>
      </c>
    </row>
    <row r="4" spans="1:6" x14ac:dyDescent="0.3">
      <c r="A4" s="11" t="s">
        <v>83</v>
      </c>
      <c r="B4" s="3">
        <v>9</v>
      </c>
      <c r="E4" t="str">
        <f>A4</f>
        <v>Healthcare Representative</v>
      </c>
      <c r="F4">
        <f>GETPIVOTDATA("CF_attrition counts",$A$3,"Job Role","Healthcare Representative")</f>
        <v>9</v>
      </c>
    </row>
    <row r="5" spans="1:6" x14ac:dyDescent="0.3">
      <c r="A5" s="12" t="s">
        <v>163</v>
      </c>
      <c r="B5" s="16">
        <v>12</v>
      </c>
      <c r="E5" t="str">
        <f t="shared" ref="E5:E13" si="0">A5</f>
        <v>Human Resources</v>
      </c>
      <c r="F5">
        <f>GETPIVOTDATA("CF_attrition counts",$A$3,"Job Role","Human Resources")</f>
        <v>12</v>
      </c>
    </row>
    <row r="6" spans="1:6" x14ac:dyDescent="0.3">
      <c r="A6" s="12" t="s">
        <v>68</v>
      </c>
      <c r="B6" s="16">
        <v>62</v>
      </c>
      <c r="E6" t="str">
        <f t="shared" si="0"/>
        <v>Laboratory Technician</v>
      </c>
      <c r="F6">
        <f>GETPIVOTDATA("CF_attrition counts",$A$3,"Job Role","Laboratory Technician")</f>
        <v>62</v>
      </c>
    </row>
    <row r="7" spans="1:6" x14ac:dyDescent="0.3">
      <c r="A7" s="12" t="s">
        <v>95</v>
      </c>
      <c r="B7" s="16">
        <v>5</v>
      </c>
      <c r="E7" t="str">
        <f t="shared" si="0"/>
        <v>Manager</v>
      </c>
      <c r="F7">
        <v>5</v>
      </c>
    </row>
    <row r="8" spans="1:6" x14ac:dyDescent="0.3">
      <c r="A8" s="12" t="s">
        <v>81</v>
      </c>
      <c r="B8" s="16">
        <v>10</v>
      </c>
      <c r="E8" t="str">
        <f t="shared" si="0"/>
        <v>Manufacturing Director</v>
      </c>
      <c r="F8">
        <v>10</v>
      </c>
    </row>
    <row r="9" spans="1:6" x14ac:dyDescent="0.3">
      <c r="A9" s="12" t="s">
        <v>101</v>
      </c>
      <c r="B9" s="16">
        <v>2</v>
      </c>
      <c r="E9" t="str">
        <f t="shared" si="0"/>
        <v>Research Director</v>
      </c>
      <c r="F9">
        <v>2</v>
      </c>
    </row>
    <row r="10" spans="1:6" x14ac:dyDescent="0.3">
      <c r="A10" s="12" t="s">
        <v>63</v>
      </c>
      <c r="B10" s="16">
        <v>47</v>
      </c>
      <c r="E10" t="str">
        <f t="shared" si="0"/>
        <v>Research Scientist</v>
      </c>
      <c r="F10">
        <v>47</v>
      </c>
    </row>
    <row r="11" spans="1:6" x14ac:dyDescent="0.3">
      <c r="A11" s="12" t="s">
        <v>52</v>
      </c>
      <c r="B11" s="16">
        <v>57</v>
      </c>
      <c r="E11" t="str">
        <f t="shared" si="0"/>
        <v>Sales Executive</v>
      </c>
      <c r="F11">
        <v>57</v>
      </c>
    </row>
    <row r="12" spans="1:6" x14ac:dyDescent="0.3">
      <c r="A12" s="12" t="s">
        <v>99</v>
      </c>
      <c r="B12" s="16">
        <v>33</v>
      </c>
      <c r="E12" t="str">
        <f t="shared" si="0"/>
        <v>Sales Representative</v>
      </c>
      <c r="F12">
        <v>33</v>
      </c>
    </row>
    <row r="13" spans="1:6" x14ac:dyDescent="0.3">
      <c r="A13" s="13" t="s">
        <v>1566</v>
      </c>
      <c r="B13" s="17">
        <v>237</v>
      </c>
      <c r="E13" t="str">
        <f t="shared" si="0"/>
        <v>Grand Total</v>
      </c>
      <c r="F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FE47-9EAF-444F-BF11-66214B07E138}">
  <dimension ref="A3:B7"/>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0" t="s">
        <v>1565</v>
      </c>
      <c r="B3" s="3" t="s">
        <v>1555</v>
      </c>
    </row>
    <row r="4" spans="1:2" x14ac:dyDescent="0.3">
      <c r="A4" s="11" t="s">
        <v>161</v>
      </c>
      <c r="B4" s="18">
        <v>5.0632911392405063E-2</v>
      </c>
    </row>
    <row r="5" spans="1:2" x14ac:dyDescent="0.3">
      <c r="A5" s="12" t="s">
        <v>60</v>
      </c>
      <c r="B5" s="19">
        <v>0.56118143459915615</v>
      </c>
    </row>
    <row r="6" spans="1:2" x14ac:dyDescent="0.3">
      <c r="A6" s="12" t="s">
        <v>48</v>
      </c>
      <c r="B6" s="19">
        <v>0.3881856540084388</v>
      </c>
    </row>
    <row r="7" spans="1:2" x14ac:dyDescent="0.3">
      <c r="A7" s="13" t="s">
        <v>1566</v>
      </c>
      <c r="B7"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87E9-2BA9-4F70-8DC4-02DBFF392B7A}">
  <dimension ref="A3:B9"/>
  <sheetViews>
    <sheetView workbookViewId="0">
      <selection activeCell="L22" sqref="L22"/>
    </sheetView>
  </sheetViews>
  <sheetFormatPr defaultRowHeight="15.6" x14ac:dyDescent="0.3"/>
  <cols>
    <col min="1" max="1" width="12.19921875" bestFit="1" customWidth="1"/>
    <col min="2" max="2" width="22.796875" bestFit="1" customWidth="1"/>
  </cols>
  <sheetData>
    <row r="3" spans="1:2" x14ac:dyDescent="0.3">
      <c r="A3" s="10" t="s">
        <v>1565</v>
      </c>
      <c r="B3" s="3" t="s">
        <v>1555</v>
      </c>
    </row>
    <row r="4" spans="1:2" x14ac:dyDescent="0.3">
      <c r="A4" s="11" t="s">
        <v>69</v>
      </c>
      <c r="B4" s="3">
        <v>112</v>
      </c>
    </row>
    <row r="5" spans="1:2" x14ac:dyDescent="0.3">
      <c r="A5" s="12" t="s">
        <v>46</v>
      </c>
      <c r="B5" s="16">
        <v>51</v>
      </c>
    </row>
    <row r="6" spans="1:2" x14ac:dyDescent="0.3">
      <c r="A6" s="12" t="s">
        <v>92</v>
      </c>
      <c r="B6" s="16">
        <v>38</v>
      </c>
    </row>
    <row r="7" spans="1:2" x14ac:dyDescent="0.3">
      <c r="A7" s="12" t="s">
        <v>58</v>
      </c>
      <c r="B7" s="16">
        <v>25</v>
      </c>
    </row>
    <row r="8" spans="1:2" x14ac:dyDescent="0.3">
      <c r="A8" s="12" t="s">
        <v>75</v>
      </c>
      <c r="B8" s="16">
        <v>11</v>
      </c>
    </row>
    <row r="9" spans="1:2" x14ac:dyDescent="0.3">
      <c r="A9" s="13" t="s">
        <v>1566</v>
      </c>
      <c r="B9" s="17">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AFFC9-0A2E-46D8-B0C1-A532306CC7C0}">
  <dimension ref="A3:E7"/>
  <sheetViews>
    <sheetView workbookViewId="0">
      <selection activeCell="M15" sqref="M15"/>
    </sheetView>
  </sheetViews>
  <sheetFormatPr defaultRowHeight="15.6" x14ac:dyDescent="0.3"/>
  <cols>
    <col min="1" max="1" width="12.19921875" bestFit="1" customWidth="1"/>
    <col min="2" max="2" width="24.296875" bestFit="1" customWidth="1"/>
    <col min="4" max="4" width="22.296875" customWidth="1"/>
    <col min="5" max="5" width="23.59765625" customWidth="1"/>
  </cols>
  <sheetData>
    <row r="3" spans="1:5" x14ac:dyDescent="0.3">
      <c r="A3" s="10" t="s">
        <v>1565</v>
      </c>
      <c r="B3" s="3" t="s">
        <v>1570</v>
      </c>
      <c r="D3" s="2" t="s">
        <v>1565</v>
      </c>
      <c r="E3" s="3" t="s">
        <v>1570</v>
      </c>
    </row>
    <row r="4" spans="1:5" x14ac:dyDescent="0.3">
      <c r="A4" s="11" t="s">
        <v>79</v>
      </c>
      <c r="B4" s="3">
        <v>327</v>
      </c>
      <c r="D4" t="str">
        <f>A4</f>
        <v>Divorced</v>
      </c>
      <c r="E4">
        <f>GETPIVOTDATA("CF_attrition count",$A$3,"Marital Status","Divorced")</f>
        <v>327</v>
      </c>
    </row>
    <row r="5" spans="1:5" x14ac:dyDescent="0.3">
      <c r="A5" s="12" t="s">
        <v>64</v>
      </c>
      <c r="B5" s="16">
        <v>673</v>
      </c>
      <c r="D5" t="str">
        <f>A5</f>
        <v>Married</v>
      </c>
      <c r="E5">
        <v>470</v>
      </c>
    </row>
    <row r="6" spans="1:5" x14ac:dyDescent="0.3">
      <c r="A6" s="12" t="s">
        <v>53</v>
      </c>
      <c r="B6" s="16">
        <v>470</v>
      </c>
      <c r="D6" t="str">
        <f>A6</f>
        <v>Single</v>
      </c>
      <c r="E6">
        <v>673</v>
      </c>
    </row>
    <row r="7" spans="1:5" x14ac:dyDescent="0.3">
      <c r="A7" s="13" t="s">
        <v>1566</v>
      </c>
      <c r="B7" s="17">
        <v>1470</v>
      </c>
      <c r="D7" t="str">
        <f>A7</f>
        <v>Grand Total</v>
      </c>
    </row>
  </sheetData>
  <sortState xmlns:xlrd2="http://schemas.microsoft.com/office/spreadsheetml/2017/richdata2" ref="D4:E7">
    <sortCondition ref="E4:E7"/>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16" sqref="B16"/>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zoomScale="81" zoomScaleNormal="81" workbookViewId="0">
      <selection activeCell="AA10" sqref="AA10"/>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Jobs</vt:lpstr>
      <vt:lpstr>Department Wise Attritions</vt:lpstr>
      <vt:lpstr>Attrition By Age</vt:lpstr>
      <vt:lpstr>Marital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Amol Shelke</cp:lastModifiedBy>
  <dcterms:created xsi:type="dcterms:W3CDTF">2022-12-29T16:02:46Z</dcterms:created>
  <dcterms:modified xsi:type="dcterms:W3CDTF">2025-07-13T09:46:14Z</dcterms:modified>
</cp:coreProperties>
</file>